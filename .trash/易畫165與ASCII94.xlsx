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share\git\rime-jek\.trash\"/>
    </mc:Choice>
  </mc:AlternateContent>
  <xr:revisionPtr revIDLastSave="0" documentId="13_ncr:1_{7E691509-064E-4CEE-947D-2666F1DD8FF4}" xr6:coauthVersionLast="47" xr6:coauthVersionMax="47" xr10:uidLastSave="{00000000-0000-0000-0000-000000000000}"/>
  <bookViews>
    <workbookView xWindow="-108" yWindow="-108" windowWidth="23256" windowHeight="12576" activeTab="1" xr2:uid="{B55F1E0F-6405-49D3-ACBC-C1F7C0B264EC}"/>
  </bookViews>
  <sheets>
    <sheet name="總分145" sheetId="1" r:id="rId1"/>
    <sheet name="總冗17" sheetId="9" r:id="rId2"/>
    <sheet name="變2" sheetId="10" r:id="rId3"/>
    <sheet name="周易" sheetId="2" r:id="rId4"/>
    <sheet name="太玄" sheetId="3" r:id="rId5"/>
    <sheet name="爻" sheetId="4" r:id="rId6"/>
    <sheet name="象" sheetId="5" r:id="rId7"/>
    <sheet name="經卦" sheetId="6" r:id="rId8"/>
    <sheet name="公式" sheetId="7" r:id="rId9"/>
    <sheet name="ASCII" sheetId="8" r:id="rId10"/>
    <sheet name="工作表3" sheetId="11" r:id="rId11"/>
    <sheet name="工作表4" sheetId="12" r:id="rId12"/>
  </sheets>
  <definedNames>
    <definedName name="_xlnm._FilterDatabase" localSheetId="11" hidden="1">工作表4!$A$1:$N$1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9" l="1"/>
  <c r="L23" i="9"/>
  <c r="L21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" i="9"/>
  <c r="M1" i="9"/>
  <c r="P1" i="9"/>
  <c r="S1" i="9" s="1"/>
  <c r="O1" i="9" s="1"/>
  <c r="Q1" i="9"/>
  <c r="R1" i="9"/>
  <c r="M2" i="9"/>
  <c r="P2" i="9"/>
  <c r="S2" i="9" s="1"/>
  <c r="O2" i="9" s="1"/>
  <c r="Q2" i="9"/>
  <c r="R2" i="9"/>
  <c r="M3" i="9"/>
  <c r="P3" i="9"/>
  <c r="Q3" i="9"/>
  <c r="T3" i="9" s="1"/>
  <c r="R3" i="9"/>
  <c r="U3" i="9" s="1"/>
  <c r="S3" i="9"/>
  <c r="T2" i="9"/>
  <c r="U2" i="9"/>
  <c r="P4" i="9"/>
  <c r="S4" i="9" s="1"/>
  <c r="Q4" i="9"/>
  <c r="T4" i="9" s="1"/>
  <c r="R4" i="9"/>
  <c r="U4" i="9" s="1"/>
  <c r="P5" i="9"/>
  <c r="S5" i="9" s="1"/>
  <c r="Q5" i="9"/>
  <c r="T5" i="9" s="1"/>
  <c r="R5" i="9"/>
  <c r="U5" i="9" s="1"/>
  <c r="P6" i="9"/>
  <c r="S6" i="9" s="1"/>
  <c r="Q6" i="9"/>
  <c r="T6" i="9" s="1"/>
  <c r="R6" i="9"/>
  <c r="U6" i="9" s="1"/>
  <c r="P7" i="9"/>
  <c r="S7" i="9" s="1"/>
  <c r="Q7" i="9"/>
  <c r="T7" i="9" s="1"/>
  <c r="R7" i="9"/>
  <c r="U7" i="9" s="1"/>
  <c r="P8" i="9"/>
  <c r="S8" i="9" s="1"/>
  <c r="Q8" i="9"/>
  <c r="T8" i="9" s="1"/>
  <c r="R8" i="9"/>
  <c r="U8" i="9" s="1"/>
  <c r="P9" i="9"/>
  <c r="S9" i="9" s="1"/>
  <c r="Q9" i="9"/>
  <c r="T9" i="9" s="1"/>
  <c r="P10" i="9"/>
  <c r="S10" i="9" s="1"/>
  <c r="Q10" i="9"/>
  <c r="T10" i="9" s="1"/>
  <c r="P11" i="9"/>
  <c r="S11" i="9" s="1"/>
  <c r="Q11" i="9"/>
  <c r="T11" i="9" s="1"/>
  <c r="P12" i="9"/>
  <c r="S12" i="9" s="1"/>
  <c r="Q12" i="9"/>
  <c r="T12" i="9" s="1"/>
  <c r="P13" i="9"/>
  <c r="S13" i="9" s="1"/>
  <c r="Q13" i="9"/>
  <c r="T13" i="9" s="1"/>
  <c r="P14" i="9"/>
  <c r="S14" i="9" s="1"/>
  <c r="Q14" i="9"/>
  <c r="T14" i="9" s="1"/>
  <c r="P15" i="9"/>
  <c r="S15" i="9" s="1"/>
  <c r="Q15" i="9"/>
  <c r="T15" i="9" s="1"/>
  <c r="P16" i="9"/>
  <c r="S16" i="9" s="1"/>
  <c r="Q16" i="9"/>
  <c r="T16" i="9" s="1"/>
  <c r="P17" i="9"/>
  <c r="S17" i="9" s="1"/>
  <c r="Q17" i="9"/>
  <c r="T17" i="9" s="1"/>
  <c r="U1" i="9"/>
  <c r="T1" i="9"/>
  <c r="M9" i="9"/>
  <c r="M10" i="9"/>
  <c r="M11" i="9"/>
  <c r="M12" i="9"/>
  <c r="M16" i="9"/>
  <c r="M17" i="9"/>
  <c r="M4" i="9"/>
  <c r="M5" i="9"/>
  <c r="M6" i="9"/>
  <c r="M7" i="9"/>
  <c r="M8" i="9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" i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2" i="7"/>
  <c r="B3" i="4"/>
  <c r="C3" i="4" s="1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1" i="8"/>
  <c r="K3" i="7" a="1"/>
  <c r="K3" i="7" s="1"/>
  <c r="K4" i="7" a="1"/>
  <c r="K4" i="7" s="1"/>
  <c r="K5" i="7" a="1"/>
  <c r="K5" i="7" s="1"/>
  <c r="K6" i="7" a="1"/>
  <c r="K6" i="7" s="1"/>
  <c r="K7" i="7" a="1"/>
  <c r="K7" i="7" s="1"/>
  <c r="K8" i="7" a="1"/>
  <c r="K8" i="7" s="1"/>
  <c r="K9" i="7" a="1"/>
  <c r="K9" i="7" s="1"/>
  <c r="K10" i="7" a="1"/>
  <c r="K10" i="7" s="1"/>
  <c r="K11" i="7" a="1"/>
  <c r="K11" i="7" s="1"/>
  <c r="K12" i="7" a="1"/>
  <c r="K12" i="7" s="1"/>
  <c r="K13" i="7" a="1"/>
  <c r="K13" i="7" s="1"/>
  <c r="K14" i="7" a="1"/>
  <c r="K14" i="7" s="1"/>
  <c r="K15" i="7" a="1"/>
  <c r="K15" i="7" s="1"/>
  <c r="K16" i="7" a="1"/>
  <c r="K16" i="7" s="1"/>
  <c r="K17" i="7" a="1"/>
  <c r="K17" i="7" s="1"/>
  <c r="K18" i="7" a="1"/>
  <c r="K18" i="7" s="1"/>
  <c r="K19" i="7" a="1"/>
  <c r="K19" i="7" s="1"/>
  <c r="K20" i="7" a="1"/>
  <c r="K20" i="7" s="1"/>
  <c r="K21" i="7" a="1"/>
  <c r="K21" i="7" s="1"/>
  <c r="K22" i="7" a="1"/>
  <c r="K22" i="7" s="1"/>
  <c r="K23" i="7" a="1"/>
  <c r="K23" i="7" s="1"/>
  <c r="K24" i="7" a="1"/>
  <c r="K24" i="7" s="1"/>
  <c r="K25" i="7" a="1"/>
  <c r="K25" i="7" s="1"/>
  <c r="K26" i="7" a="1"/>
  <c r="K26" i="7" s="1"/>
  <c r="K27" i="7" a="1"/>
  <c r="K27" i="7" s="1"/>
  <c r="K28" i="7" a="1"/>
  <c r="K28" i="7" s="1"/>
  <c r="K29" i="7" a="1"/>
  <c r="K29" i="7" s="1"/>
  <c r="K30" i="7" a="1"/>
  <c r="K30" i="7" s="1"/>
  <c r="K31" i="7" a="1"/>
  <c r="K31" i="7" s="1"/>
  <c r="K32" i="7" a="1"/>
  <c r="K32" i="7" s="1"/>
  <c r="K33" i="7" a="1"/>
  <c r="K33" i="7" s="1"/>
  <c r="K34" i="7" a="1"/>
  <c r="K34" i="7" s="1"/>
  <c r="K35" i="7" a="1"/>
  <c r="K35" i="7" s="1"/>
  <c r="K36" i="7" a="1"/>
  <c r="K36" i="7" s="1"/>
  <c r="K37" i="7" a="1"/>
  <c r="K37" i="7" s="1"/>
  <c r="K38" i="7" a="1"/>
  <c r="K38" i="7" s="1"/>
  <c r="K39" i="7" a="1"/>
  <c r="K39" i="7" s="1"/>
  <c r="K40" i="7" a="1"/>
  <c r="K40" i="7" s="1"/>
  <c r="K41" i="7" a="1"/>
  <c r="K41" i="7" s="1"/>
  <c r="K42" i="7" a="1"/>
  <c r="K42" i="7" s="1"/>
  <c r="K43" i="7" a="1"/>
  <c r="K43" i="7" s="1"/>
  <c r="K44" i="7" a="1"/>
  <c r="K44" i="7" s="1"/>
  <c r="K45" i="7" a="1"/>
  <c r="K45" i="7" s="1"/>
  <c r="K46" i="7" a="1"/>
  <c r="K46" i="7" s="1"/>
  <c r="K47" i="7" a="1"/>
  <c r="K47" i="7" s="1"/>
  <c r="K48" i="7" a="1"/>
  <c r="K48" i="7" s="1"/>
  <c r="K49" i="7" a="1"/>
  <c r="K49" i="7" s="1"/>
  <c r="K50" i="7" a="1"/>
  <c r="K50" i="7" s="1"/>
  <c r="K51" i="7" a="1"/>
  <c r="K51" i="7" s="1"/>
  <c r="K52" i="7" a="1"/>
  <c r="K52" i="7" s="1"/>
  <c r="K53" i="7" a="1"/>
  <c r="K53" i="7" s="1"/>
  <c r="K54" i="7" a="1"/>
  <c r="K54" i="7" s="1"/>
  <c r="K55" i="7" a="1"/>
  <c r="K55" i="7" s="1"/>
  <c r="K56" i="7" a="1"/>
  <c r="K56" i="7" s="1"/>
  <c r="K57" i="7" a="1"/>
  <c r="K57" i="7" s="1"/>
  <c r="K58" i="7" a="1"/>
  <c r="K58" i="7" s="1"/>
  <c r="K59" i="7" a="1"/>
  <c r="K59" i="7" s="1"/>
  <c r="K60" i="7" a="1"/>
  <c r="K60" i="7" s="1"/>
  <c r="K61" i="7" a="1"/>
  <c r="K61" i="7" s="1"/>
  <c r="K62" i="7" a="1"/>
  <c r="K62" i="7" s="1"/>
  <c r="K63" i="7" a="1"/>
  <c r="K63" i="7" s="1"/>
  <c r="K64" i="7" a="1"/>
  <c r="K64" i="7" s="1"/>
  <c r="K65" i="7" a="1"/>
  <c r="K65" i="7" s="1"/>
  <c r="K66" i="7" a="1"/>
  <c r="K66" i="7" s="1"/>
  <c r="K67" i="7" a="1"/>
  <c r="K67" i="7" s="1"/>
  <c r="K68" i="7" a="1"/>
  <c r="K68" i="7" s="1"/>
  <c r="K69" i="7" a="1"/>
  <c r="K69" i="7" s="1"/>
  <c r="K70" i="7" a="1"/>
  <c r="K70" i="7" s="1"/>
  <c r="K71" i="7" a="1"/>
  <c r="K71" i="7" s="1"/>
  <c r="K72" i="7" a="1"/>
  <c r="K72" i="7" s="1"/>
  <c r="K73" i="7" a="1"/>
  <c r="K73" i="7" s="1"/>
  <c r="K74" i="7" a="1"/>
  <c r="K74" i="7" s="1"/>
  <c r="K75" i="7" a="1"/>
  <c r="K75" i="7" s="1"/>
  <c r="K76" i="7" a="1"/>
  <c r="K76" i="7" s="1"/>
  <c r="K77" i="7" a="1"/>
  <c r="K77" i="7" s="1"/>
  <c r="K78" i="7" a="1"/>
  <c r="K78" i="7" s="1"/>
  <c r="K79" i="7" a="1"/>
  <c r="K79" i="7" s="1"/>
  <c r="K80" i="7" a="1"/>
  <c r="K80" i="7" s="1"/>
  <c r="K81" i="7" a="1"/>
  <c r="K81" i="7" s="1"/>
  <c r="K82" i="7" a="1"/>
  <c r="K82" i="7" s="1"/>
  <c r="K83" i="7" a="1"/>
  <c r="K83" i="7" s="1"/>
  <c r="K84" i="7" a="1"/>
  <c r="K84" i="7" s="1"/>
  <c r="K85" i="7" a="1"/>
  <c r="K85" i="7" s="1"/>
  <c r="K2" i="7" a="1"/>
  <c r="K2" i="7" s="1"/>
  <c r="J87" i="7" a="1"/>
  <c r="J87" i="7" s="1"/>
  <c r="K87" i="7" s="1" a="1"/>
  <c r="K87" i="7" s="1"/>
  <c r="J88" i="7" a="1"/>
  <c r="J88" i="7" s="1"/>
  <c r="K88" i="7" s="1" a="1"/>
  <c r="K88" i="7" s="1"/>
  <c r="J89" i="7" a="1"/>
  <c r="J89" i="7" s="1"/>
  <c r="K89" i="7" s="1" a="1"/>
  <c r="K89" i="7" s="1"/>
  <c r="J90" i="7" a="1"/>
  <c r="J90" i="7" s="1"/>
  <c r="K90" i="7" s="1" a="1"/>
  <c r="K90" i="7" s="1"/>
  <c r="J91" i="7" a="1"/>
  <c r="J91" i="7" s="1"/>
  <c r="K91" i="7" s="1" a="1"/>
  <c r="K91" i="7" s="1"/>
  <c r="J92" i="7" a="1"/>
  <c r="J92" i="7" s="1"/>
  <c r="K92" i="7" s="1" a="1"/>
  <c r="K92" i="7" s="1"/>
  <c r="J93" i="7" a="1"/>
  <c r="J93" i="7" s="1"/>
  <c r="K93" i="7" s="1" a="1"/>
  <c r="K93" i="7" s="1"/>
  <c r="J94" i="7" a="1"/>
  <c r="J94" i="7" s="1"/>
  <c r="K94" i="7" s="1" a="1"/>
  <c r="K94" i="7" s="1"/>
  <c r="J95" i="7" a="1"/>
  <c r="J95" i="7" s="1"/>
  <c r="K95" i="7" s="1" a="1"/>
  <c r="K95" i="7" s="1"/>
  <c r="J96" i="7" a="1"/>
  <c r="J96" i="7" s="1"/>
  <c r="K96" i="7" s="1" a="1"/>
  <c r="K96" i="7" s="1"/>
  <c r="J97" i="7" a="1"/>
  <c r="J97" i="7" s="1"/>
  <c r="K97" i="7" s="1" a="1"/>
  <c r="K97" i="7" s="1"/>
  <c r="J98" i="7" a="1"/>
  <c r="J98" i="7" s="1"/>
  <c r="K98" i="7" s="1" a="1"/>
  <c r="K98" i="7" s="1"/>
  <c r="J99" i="7" a="1"/>
  <c r="J99" i="7" s="1"/>
  <c r="K99" i="7" s="1" a="1"/>
  <c r="K99" i="7" s="1"/>
  <c r="J100" i="7" a="1"/>
  <c r="J100" i="7" s="1"/>
  <c r="K100" i="7" s="1" a="1"/>
  <c r="K100" i="7" s="1"/>
  <c r="J101" i="7" a="1"/>
  <c r="J101" i="7" s="1"/>
  <c r="K101" i="7" s="1" a="1"/>
  <c r="K101" i="7" s="1"/>
  <c r="J102" i="7" a="1"/>
  <c r="J102" i="7" s="1"/>
  <c r="K102" i="7" s="1" a="1"/>
  <c r="K102" i="7" s="1"/>
  <c r="J103" i="7" a="1"/>
  <c r="J103" i="7" s="1"/>
  <c r="K103" i="7" s="1" a="1"/>
  <c r="K103" i="7" s="1"/>
  <c r="J104" i="7" a="1"/>
  <c r="J104" i="7" s="1"/>
  <c r="K104" i="7" s="1" a="1"/>
  <c r="K104" i="7" s="1"/>
  <c r="J105" i="7" a="1"/>
  <c r="J105" i="7" s="1"/>
  <c r="K105" i="7" s="1" a="1"/>
  <c r="K105" i="7" s="1"/>
  <c r="J106" i="7" a="1"/>
  <c r="J106" i="7" s="1"/>
  <c r="K106" i="7" s="1" a="1"/>
  <c r="K106" i="7" s="1"/>
  <c r="J107" i="7" a="1"/>
  <c r="J107" i="7" s="1"/>
  <c r="K107" i="7" s="1" a="1"/>
  <c r="K107" i="7" s="1"/>
  <c r="J108" i="7" a="1"/>
  <c r="J108" i="7" s="1"/>
  <c r="K108" i="7" s="1" a="1"/>
  <c r="K108" i="7" s="1"/>
  <c r="J109" i="7" a="1"/>
  <c r="J109" i="7" s="1"/>
  <c r="L109" i="7" s="1"/>
  <c r="J110" i="7" a="1"/>
  <c r="J110" i="7"/>
  <c r="K110" i="7" s="1" a="1"/>
  <c r="K110" i="7" s="1"/>
  <c r="J111" i="7" a="1"/>
  <c r="J111" i="7" s="1"/>
  <c r="K111" i="7" s="1" a="1"/>
  <c r="K111" i="7" s="1"/>
  <c r="J112" i="7" a="1"/>
  <c r="J112" i="7" s="1"/>
  <c r="K112" i="7" s="1" a="1"/>
  <c r="K112" i="7" s="1"/>
  <c r="J113" i="7" a="1"/>
  <c r="J113" i="7" s="1"/>
  <c r="K113" i="7" s="1" a="1"/>
  <c r="K113" i="7" s="1"/>
  <c r="J114" i="7" a="1"/>
  <c r="J114" i="7" s="1"/>
  <c r="K114" i="7" s="1" a="1"/>
  <c r="K114" i="7" s="1"/>
  <c r="J115" i="7" a="1"/>
  <c r="J115" i="7" s="1"/>
  <c r="K115" i="7" s="1" a="1"/>
  <c r="K115" i="7" s="1"/>
  <c r="J116" i="7" a="1"/>
  <c r="J116" i="7" s="1"/>
  <c r="K116" i="7" s="1" a="1"/>
  <c r="K116" i="7" s="1"/>
  <c r="J117" i="7" a="1"/>
  <c r="J117" i="7" s="1"/>
  <c r="K117" i="7" s="1" a="1"/>
  <c r="K117" i="7" s="1"/>
  <c r="J118" i="7" a="1"/>
  <c r="J118" i="7" s="1"/>
  <c r="J119" i="7" a="1"/>
  <c r="J119" i="7" s="1"/>
  <c r="K119" i="7" s="1" a="1"/>
  <c r="K119" i="7" s="1"/>
  <c r="J120" i="7" a="1"/>
  <c r="J120" i="7" s="1"/>
  <c r="K120" i="7" s="1" a="1"/>
  <c r="K120" i="7" s="1"/>
  <c r="J121" i="7" a="1"/>
  <c r="J121" i="7" s="1"/>
  <c r="K121" i="7" s="1" a="1"/>
  <c r="K121" i="7" s="1"/>
  <c r="J122" i="7" a="1"/>
  <c r="J122" i="7" s="1"/>
  <c r="K122" i="7" s="1" a="1"/>
  <c r="K122" i="7" s="1"/>
  <c r="J123" i="7" a="1"/>
  <c r="J123" i="7" s="1"/>
  <c r="K123" i="7" s="1" a="1"/>
  <c r="K123" i="7" s="1"/>
  <c r="J124" i="7" a="1"/>
  <c r="J124" i="7" s="1"/>
  <c r="K124" i="7" s="1" a="1"/>
  <c r="K124" i="7" s="1"/>
  <c r="J125" i="7" a="1"/>
  <c r="J125" i="7" s="1"/>
  <c r="L125" i="7" s="1"/>
  <c r="J126" i="7" a="1"/>
  <c r="J126" i="7" s="1"/>
  <c r="K126" i="7" s="1" a="1"/>
  <c r="K126" i="7" s="1"/>
  <c r="J127" i="7" a="1"/>
  <c r="J127" i="7" s="1"/>
  <c r="K127" i="7" s="1" a="1"/>
  <c r="K127" i="7" s="1"/>
  <c r="J128" i="7" a="1"/>
  <c r="J128" i="7" s="1"/>
  <c r="K128" i="7" s="1" a="1"/>
  <c r="K128" i="7" s="1"/>
  <c r="J129" i="7" a="1"/>
  <c r="J129" i="7" s="1"/>
  <c r="K129" i="7" s="1" a="1"/>
  <c r="K129" i="7" s="1"/>
  <c r="J130" i="7" a="1"/>
  <c r="J130" i="7" s="1"/>
  <c r="K130" i="7" s="1" a="1"/>
  <c r="K130" i="7" s="1"/>
  <c r="J131" i="7" a="1"/>
  <c r="J131" i="7" s="1"/>
  <c r="K131" i="7" s="1" a="1"/>
  <c r="K131" i="7" s="1"/>
  <c r="J132" i="7" a="1"/>
  <c r="J132" i="7" s="1"/>
  <c r="K132" i="7" s="1" a="1"/>
  <c r="K132" i="7" s="1"/>
  <c r="J133" i="7" a="1"/>
  <c r="J133" i="7" s="1"/>
  <c r="L133" i="7" s="1"/>
  <c r="J134" i="7" a="1"/>
  <c r="J134" i="7" s="1"/>
  <c r="K134" i="7" s="1" a="1"/>
  <c r="K134" i="7" s="1"/>
  <c r="J135" i="7" a="1"/>
  <c r="J135" i="7" s="1"/>
  <c r="K135" i="7" s="1" a="1"/>
  <c r="K135" i="7" s="1"/>
  <c r="J136" i="7" a="1"/>
  <c r="J136" i="7" s="1"/>
  <c r="K136" i="7" s="1" a="1"/>
  <c r="K136" i="7" s="1"/>
  <c r="J137" i="7" a="1"/>
  <c r="J137" i="7" s="1"/>
  <c r="K137" i="7" s="1" a="1"/>
  <c r="K137" i="7" s="1"/>
  <c r="J138" i="7" a="1"/>
  <c r="J138" i="7" s="1"/>
  <c r="K138" i="7" s="1" a="1"/>
  <c r="K138" i="7" s="1"/>
  <c r="J139" i="7" a="1"/>
  <c r="J139" i="7" s="1"/>
  <c r="K139" i="7" s="1" a="1"/>
  <c r="K139" i="7" s="1"/>
  <c r="J140" i="7" a="1"/>
  <c r="J140" i="7" s="1"/>
  <c r="K140" i="7" s="1" a="1"/>
  <c r="K140" i="7" s="1"/>
  <c r="J141" i="7" a="1"/>
  <c r="J141" i="7" s="1"/>
  <c r="K141" i="7" s="1" a="1"/>
  <c r="K141" i="7" s="1"/>
  <c r="J142" i="7" a="1"/>
  <c r="J142" i="7"/>
  <c r="K142" i="7" s="1" a="1"/>
  <c r="K142" i="7" s="1"/>
  <c r="J143" i="7" a="1"/>
  <c r="J143" i="7" s="1"/>
  <c r="K143" i="7" s="1" a="1"/>
  <c r="K143" i="7" s="1"/>
  <c r="J144" i="7" a="1"/>
  <c r="J144" i="7" s="1"/>
  <c r="K144" i="7" s="1" a="1"/>
  <c r="K144" i="7" s="1"/>
  <c r="J145" i="7" a="1"/>
  <c r="J145" i="7" s="1"/>
  <c r="K145" i="7" s="1" a="1"/>
  <c r="K145" i="7" s="1"/>
  <c r="J146" i="7" a="1"/>
  <c r="J146" i="7" s="1"/>
  <c r="K146" i="7" s="1" a="1"/>
  <c r="K146" i="7" s="1"/>
  <c r="J147" i="7" a="1"/>
  <c r="J147" i="7" s="1"/>
  <c r="K147" i="7" s="1" a="1"/>
  <c r="K147" i="7" s="1"/>
  <c r="J148" i="7" a="1"/>
  <c r="J148" i="7" s="1"/>
  <c r="K148" i="7" s="1" a="1"/>
  <c r="K148" i="7" s="1"/>
  <c r="J149" i="7" a="1"/>
  <c r="J149" i="7" s="1"/>
  <c r="K149" i="7" s="1" a="1"/>
  <c r="K149" i="7" s="1"/>
  <c r="J150" i="7" a="1"/>
  <c r="J150" i="7" s="1"/>
  <c r="J151" i="7" a="1"/>
  <c r="J151" i="7" s="1"/>
  <c r="K151" i="7" s="1" a="1"/>
  <c r="K151" i="7" s="1"/>
  <c r="J152" i="7" a="1"/>
  <c r="J152" i="7" s="1"/>
  <c r="K152" i="7" s="1" a="1"/>
  <c r="K152" i="7" s="1"/>
  <c r="J153" i="7" a="1"/>
  <c r="J153" i="7" s="1"/>
  <c r="K153" i="7" s="1" a="1"/>
  <c r="K153" i="7" s="1"/>
  <c r="J154" i="7" a="1"/>
  <c r="J154" i="7"/>
  <c r="K154" i="7" s="1" a="1"/>
  <c r="K154" i="7" s="1"/>
  <c r="J155" i="7" a="1"/>
  <c r="J155" i="7" s="1"/>
  <c r="K155" i="7" s="1" a="1"/>
  <c r="K155" i="7" s="1"/>
  <c r="J156" i="7" a="1"/>
  <c r="J156" i="7" s="1"/>
  <c r="K156" i="7" s="1" a="1"/>
  <c r="K156" i="7" s="1"/>
  <c r="J157" i="7" a="1"/>
  <c r="J157" i="7" s="1"/>
  <c r="K157" i="7" s="1" a="1"/>
  <c r="K157" i="7" s="1"/>
  <c r="J158" i="7" a="1"/>
  <c r="J158" i="7" s="1"/>
  <c r="K158" i="7" s="1" a="1"/>
  <c r="K158" i="7" s="1"/>
  <c r="J159" i="7" a="1"/>
  <c r="J159" i="7" s="1"/>
  <c r="K159" i="7" s="1" a="1"/>
  <c r="K159" i="7" s="1"/>
  <c r="J160" i="7" a="1"/>
  <c r="J160" i="7" s="1"/>
  <c r="K160" i="7" s="1" a="1"/>
  <c r="K160" i="7" s="1"/>
  <c r="J161" i="7" a="1"/>
  <c r="J161" i="7" s="1"/>
  <c r="K161" i="7" s="1" a="1"/>
  <c r="K161" i="7" s="1"/>
  <c r="J162" i="7" a="1"/>
  <c r="J162" i="7" s="1"/>
  <c r="K162" i="7" s="1" a="1"/>
  <c r="K162" i="7" s="1"/>
  <c r="J163" i="7" a="1"/>
  <c r="J163" i="7" s="1"/>
  <c r="K163" i="7" s="1" a="1"/>
  <c r="K163" i="7" s="1"/>
  <c r="J164" i="7" a="1"/>
  <c r="J164" i="7" s="1"/>
  <c r="K164" i="7" s="1" a="1"/>
  <c r="K164" i="7" s="1"/>
  <c r="J165" i="7" a="1"/>
  <c r="J165" i="7" s="1"/>
  <c r="K165" i="7" s="1" a="1"/>
  <c r="K165" i="7" s="1"/>
  <c r="J166" i="7" a="1"/>
  <c r="J166" i="7" s="1"/>
  <c r="K166" i="7" s="1" a="1"/>
  <c r="K166" i="7" s="1"/>
  <c r="J86" i="7" a="1"/>
  <c r="J86" i="7" s="1"/>
  <c r="K86" i="7" s="1" a="1"/>
  <c r="K86" i="7" s="1"/>
  <c r="B1" i="8" a="1"/>
  <c r="B1" i="8" s="1"/>
  <c r="F1" i="8" s="1"/>
  <c r="J1" i="8" s="1"/>
  <c r="C10" i="7" a="1"/>
  <c r="C10" i="7" s="1"/>
  <c r="C11" i="7" s="1" a="1"/>
  <c r="C11" i="7" s="1"/>
  <c r="C12" i="7" s="1" a="1"/>
  <c r="C12" i="7" s="1"/>
  <c r="C13" i="7" s="1" a="1"/>
  <c r="C13" i="7" s="1"/>
  <c r="C14" i="7" s="1" a="1"/>
  <c r="C14" i="7" s="1"/>
  <c r="C15" i="7" s="1" a="1"/>
  <c r="C15" i="7" s="1"/>
  <c r="C16" i="7" s="1" a="1"/>
  <c r="C16" i="7" s="1"/>
  <c r="C17" i="7" s="1" a="1"/>
  <c r="C17" i="7" s="1"/>
  <c r="C18" i="7" s="1" a="1"/>
  <c r="C18" i="7" s="1"/>
  <c r="C19" i="7" s="1" a="1"/>
  <c r="C19" i="7" s="1"/>
  <c r="C20" i="7" s="1" a="1"/>
  <c r="C20" i="7" s="1"/>
  <c r="C21" i="7" s="1" a="1"/>
  <c r="C21" i="7" s="1"/>
  <c r="C22" i="7" s="1" a="1"/>
  <c r="C22" i="7" s="1"/>
  <c r="C23" i="7" s="1" a="1"/>
  <c r="C23" i="7" s="1"/>
  <c r="C24" i="7" s="1" a="1"/>
  <c r="C24" i="7" s="1"/>
  <c r="C25" i="7" s="1" a="1"/>
  <c r="C25" i="7" s="1"/>
  <c r="C26" i="7" s="1" a="1"/>
  <c r="C26" i="7" s="1"/>
  <c r="N26" i="7" s="1"/>
  <c r="C2" i="7" a="1"/>
  <c r="C2" i="7" s="1"/>
  <c r="F2" i="7" s="1"/>
  <c r="B9" i="5"/>
  <c r="C9" i="5" s="1"/>
  <c r="B7" i="5"/>
  <c r="C7" i="5" s="1"/>
  <c r="B1" i="4"/>
  <c r="C1" i="4" s="1"/>
  <c r="B1" i="5"/>
  <c r="C1" i="5" s="1"/>
  <c r="B3" i="6"/>
  <c r="C3" i="6"/>
  <c r="B4" i="6"/>
  <c r="C4" i="6"/>
  <c r="B5" i="6"/>
  <c r="C5" i="6" s="1"/>
  <c r="B2" i="6"/>
  <c r="C2" i="6" s="1"/>
  <c r="C1" i="6"/>
  <c r="B1" i="6"/>
  <c r="O3" i="9" l="1"/>
  <c r="K150" i="7" a="1"/>
  <c r="K150" i="7" s="1"/>
  <c r="L150" i="7"/>
  <c r="K118" i="7" a="1"/>
  <c r="K118" i="7" s="1"/>
  <c r="L118" i="7"/>
  <c r="K133" i="7" a="1"/>
  <c r="K133" i="7" s="1"/>
  <c r="B22" i="7"/>
  <c r="B14" i="7"/>
  <c r="L159" i="7"/>
  <c r="L151" i="7"/>
  <c r="L143" i="7"/>
  <c r="L135" i="7"/>
  <c r="L127" i="7"/>
  <c r="L119" i="7"/>
  <c r="L111" i="7"/>
  <c r="L103" i="7"/>
  <c r="L95" i="7"/>
  <c r="L87" i="7"/>
  <c r="M11" i="7"/>
  <c r="M15" i="7"/>
  <c r="M19" i="7"/>
  <c r="M23" i="7"/>
  <c r="K125" i="7" a="1"/>
  <c r="K125" i="7" s="1"/>
  <c r="B21" i="7"/>
  <c r="B13" i="7"/>
  <c r="L166" i="7"/>
  <c r="L158" i="7"/>
  <c r="L142" i="7"/>
  <c r="L134" i="7"/>
  <c r="L126" i="7"/>
  <c r="L110" i="7"/>
  <c r="L102" i="7"/>
  <c r="L94" i="7"/>
  <c r="L86" i="7"/>
  <c r="N11" i="7"/>
  <c r="N15" i="7"/>
  <c r="N19" i="7"/>
  <c r="N23" i="7"/>
  <c r="K109" i="7" a="1"/>
  <c r="K109" i="7" s="1"/>
  <c r="B20" i="7"/>
  <c r="B12" i="7"/>
  <c r="L165" i="7"/>
  <c r="L157" i="7"/>
  <c r="L149" i="7"/>
  <c r="L141" i="7"/>
  <c r="L117" i="7"/>
  <c r="L101" i="7"/>
  <c r="L93" i="7"/>
  <c r="M12" i="7"/>
  <c r="M16" i="7"/>
  <c r="M20" i="7"/>
  <c r="M24" i="7"/>
  <c r="B19" i="7"/>
  <c r="B11" i="7"/>
  <c r="L164" i="7"/>
  <c r="L156" i="7"/>
  <c r="L148" i="7"/>
  <c r="L140" i="7"/>
  <c r="L132" i="7"/>
  <c r="L124" i="7"/>
  <c r="L116" i="7"/>
  <c r="L108" i="7"/>
  <c r="L100" i="7"/>
  <c r="L92" i="7"/>
  <c r="N12" i="7"/>
  <c r="N16" i="7"/>
  <c r="N20" i="7"/>
  <c r="N24" i="7"/>
  <c r="B26" i="7"/>
  <c r="B18" i="7"/>
  <c r="B10" i="7"/>
  <c r="L163" i="7"/>
  <c r="L155" i="7"/>
  <c r="L147" i="7"/>
  <c r="L139" i="7"/>
  <c r="L131" i="7"/>
  <c r="L123" i="7"/>
  <c r="L115" i="7"/>
  <c r="L107" i="7"/>
  <c r="L99" i="7"/>
  <c r="L91" i="7"/>
  <c r="M13" i="7"/>
  <c r="M17" i="7"/>
  <c r="M21" i="7"/>
  <c r="M25" i="7"/>
  <c r="B25" i="7"/>
  <c r="B17" i="7"/>
  <c r="L162" i="7"/>
  <c r="L154" i="7"/>
  <c r="L146" i="7"/>
  <c r="L138" i="7"/>
  <c r="L130" i="7"/>
  <c r="L122" i="7"/>
  <c r="L114" i="7"/>
  <c r="L106" i="7"/>
  <c r="L98" i="7"/>
  <c r="L90" i="7"/>
  <c r="N13" i="7"/>
  <c r="N17" i="7"/>
  <c r="N21" i="7"/>
  <c r="N25" i="7"/>
  <c r="B24" i="7"/>
  <c r="B16" i="7"/>
  <c r="L161" i="7"/>
  <c r="L153" i="7"/>
  <c r="L145" i="7"/>
  <c r="L137" i="7"/>
  <c r="L129" i="7"/>
  <c r="L121" i="7"/>
  <c r="L113" i="7"/>
  <c r="L105" i="7"/>
  <c r="L97" i="7"/>
  <c r="L89" i="7"/>
  <c r="M2" i="7"/>
  <c r="M10" i="7"/>
  <c r="M14" i="7"/>
  <c r="M18" i="7"/>
  <c r="M22" i="7"/>
  <c r="M26" i="7"/>
  <c r="B2" i="7"/>
  <c r="B23" i="7"/>
  <c r="B15" i="7"/>
  <c r="L160" i="7"/>
  <c r="L152" i="7"/>
  <c r="L144" i="7"/>
  <c r="L136" i="7"/>
  <c r="L128" i="7"/>
  <c r="L120" i="7"/>
  <c r="L112" i="7"/>
  <c r="L104" i="7"/>
  <c r="L96" i="7"/>
  <c r="L88" i="7"/>
  <c r="N2" i="7"/>
  <c r="N10" i="7"/>
  <c r="N14" i="7"/>
  <c r="N18" i="7"/>
  <c r="N22" i="7"/>
  <c r="O15" i="9"/>
  <c r="O11" i="9"/>
  <c r="O17" i="9"/>
  <c r="O13" i="9"/>
  <c r="O12" i="9"/>
  <c r="O5" i="9"/>
  <c r="O16" i="9"/>
  <c r="O14" i="9"/>
  <c r="O10" i="9"/>
  <c r="O7" i="9"/>
  <c r="O9" i="9"/>
  <c r="O6" i="9"/>
  <c r="O8" i="9"/>
  <c r="O4" i="9"/>
  <c r="C1" i="8"/>
  <c r="B2" i="8" a="1"/>
  <c r="B2" i="8" s="1"/>
  <c r="C2" i="8" s="1"/>
  <c r="F26" i="7"/>
  <c r="C27" i="7" a="1"/>
  <c r="C27" i="7" s="1"/>
  <c r="C3" i="7" a="1"/>
  <c r="C3" i="7" s="1"/>
  <c r="B10" i="5"/>
  <c r="B2" i="4"/>
  <c r="C2" i="4" s="1"/>
  <c r="B2" i="5"/>
  <c r="B6" i="6"/>
  <c r="C4" i="7" l="1" a="1"/>
  <c r="C4" i="7" s="1"/>
  <c r="B3" i="7"/>
  <c r="N3" i="7"/>
  <c r="M3" i="7"/>
  <c r="B27" i="7"/>
  <c r="N27" i="7"/>
  <c r="M27" i="7"/>
  <c r="F2" i="8"/>
  <c r="B3" i="8" a="1"/>
  <c r="B3" i="8" s="1"/>
  <c r="C3" i="8" s="1"/>
  <c r="F27" i="7"/>
  <c r="C28" i="7" a="1"/>
  <c r="C28" i="7" s="1"/>
  <c r="C10" i="5"/>
  <c r="B11" i="5"/>
  <c r="B1" i="3" s="1"/>
  <c r="F3" i="7"/>
  <c r="B3" i="5"/>
  <c r="C2" i="5"/>
  <c r="B7" i="6"/>
  <c r="C6" i="6"/>
  <c r="N28" i="7" l="1"/>
  <c r="M28" i="7"/>
  <c r="B28" i="7"/>
  <c r="C5" i="7" a="1"/>
  <c r="C5" i="7" s="1"/>
  <c r="N4" i="7"/>
  <c r="M4" i="7"/>
  <c r="B4" i="7"/>
  <c r="I2" i="8"/>
  <c r="J2" i="8"/>
  <c r="F3" i="8"/>
  <c r="B4" i="8" a="1"/>
  <c r="B4" i="8" s="1"/>
  <c r="C4" i="8" s="1"/>
  <c r="F28" i="7"/>
  <c r="C29" i="7" a="1"/>
  <c r="C29" i="7" s="1"/>
  <c r="B2" i="3"/>
  <c r="C1" i="3"/>
  <c r="C11" i="5"/>
  <c r="F4" i="7"/>
  <c r="B4" i="5"/>
  <c r="C3" i="5"/>
  <c r="B8" i="6"/>
  <c r="C8" i="6" s="1"/>
  <c r="C7" i="6"/>
  <c r="C6" i="7" l="1" a="1"/>
  <c r="C6" i="7" s="1"/>
  <c r="N5" i="7"/>
  <c r="M5" i="7"/>
  <c r="B5" i="7"/>
  <c r="N29" i="7"/>
  <c r="M29" i="7"/>
  <c r="B29" i="7"/>
  <c r="I3" i="8"/>
  <c r="J3" i="8"/>
  <c r="F4" i="8"/>
  <c r="B5" i="8" a="1"/>
  <c r="B5" i="8" s="1"/>
  <c r="C5" i="8" s="1"/>
  <c r="F29" i="7"/>
  <c r="C30" i="7" a="1"/>
  <c r="C30" i="7" s="1"/>
  <c r="B3" i="3"/>
  <c r="C3" i="3" s="1"/>
  <c r="C2" i="3"/>
  <c r="F5" i="7"/>
  <c r="C4" i="5"/>
  <c r="B5" i="5"/>
  <c r="N30" i="7" l="1"/>
  <c r="M30" i="7"/>
  <c r="B30" i="7"/>
  <c r="C7" i="7" a="1"/>
  <c r="C7" i="7" s="1"/>
  <c r="N6" i="7"/>
  <c r="M6" i="7"/>
  <c r="B6" i="7"/>
  <c r="I4" i="8"/>
  <c r="J4" i="8"/>
  <c r="F5" i="8"/>
  <c r="B6" i="8" a="1"/>
  <c r="B6" i="8" s="1"/>
  <c r="C6" i="8" s="1"/>
  <c r="F30" i="7"/>
  <c r="C31" i="7" a="1"/>
  <c r="C31" i="7" s="1"/>
  <c r="F6" i="7"/>
  <c r="C5" i="5"/>
  <c r="B6" i="5"/>
  <c r="C8" i="7" l="1" a="1"/>
  <c r="C8" i="7" s="1"/>
  <c r="B7" i="7"/>
  <c r="N7" i="7"/>
  <c r="M7" i="7"/>
  <c r="B31" i="7"/>
  <c r="N31" i="7"/>
  <c r="M31" i="7"/>
  <c r="I5" i="8"/>
  <c r="J5" i="8"/>
  <c r="B7" i="8" a="1"/>
  <c r="B7" i="8" s="1"/>
  <c r="C7" i="8" s="1"/>
  <c r="F6" i="8"/>
  <c r="F31" i="7"/>
  <c r="C32" i="7" a="1"/>
  <c r="C32" i="7" s="1"/>
  <c r="F7" i="7"/>
  <c r="C6" i="5"/>
  <c r="B32" i="7" l="1"/>
  <c r="N32" i="7"/>
  <c r="M32" i="7"/>
  <c r="C9" i="7" a="1"/>
  <c r="C9" i="7" s="1"/>
  <c r="B8" i="7"/>
  <c r="N8" i="7"/>
  <c r="M8" i="7"/>
  <c r="I6" i="8"/>
  <c r="J6" i="8"/>
  <c r="F7" i="8"/>
  <c r="B8" i="8" a="1"/>
  <c r="B8" i="8" s="1"/>
  <c r="C8" i="8" s="1"/>
  <c r="F32" i="7"/>
  <c r="C33" i="7" a="1"/>
  <c r="C33" i="7" s="1"/>
  <c r="F8" i="7"/>
  <c r="B8" i="5"/>
  <c r="C8" i="5" s="1"/>
  <c r="N9" i="7" l="1"/>
  <c r="B9" i="7"/>
  <c r="M9" i="7"/>
  <c r="N33" i="7"/>
  <c r="B33" i="7"/>
  <c r="M33" i="7"/>
  <c r="I7" i="8"/>
  <c r="J7" i="8"/>
  <c r="F8" i="8"/>
  <c r="B9" i="8" a="1"/>
  <c r="B9" i="8" s="1"/>
  <c r="C9" i="8" s="1"/>
  <c r="C34" i="7" a="1"/>
  <c r="C34" i="7" s="1"/>
  <c r="F33" i="7"/>
  <c r="F9" i="7"/>
  <c r="N34" i="7" l="1"/>
  <c r="M34" i="7"/>
  <c r="B34" i="7"/>
  <c r="I8" i="8"/>
  <c r="J8" i="8"/>
  <c r="B10" i="8" a="1"/>
  <c r="B10" i="8" s="1"/>
  <c r="C10" i="8" s="1"/>
  <c r="F9" i="8"/>
  <c r="F34" i="7"/>
  <c r="C35" i="7" a="1"/>
  <c r="C35" i="7" s="1"/>
  <c r="F10" i="7"/>
  <c r="B35" i="7" l="1"/>
  <c r="N35" i="7"/>
  <c r="M35" i="7"/>
  <c r="I9" i="8"/>
  <c r="J9" i="8"/>
  <c r="F10" i="8"/>
  <c r="B11" i="8" a="1"/>
  <c r="B11" i="8" s="1"/>
  <c r="C11" i="8" s="1"/>
  <c r="F35" i="7"/>
  <c r="C36" i="7" a="1"/>
  <c r="C36" i="7" s="1"/>
  <c r="F11" i="7"/>
  <c r="N36" i="7" l="1"/>
  <c r="M36" i="7"/>
  <c r="B36" i="7"/>
  <c r="I10" i="8"/>
  <c r="J10" i="8"/>
  <c r="F11" i="8"/>
  <c r="B12" i="8" a="1"/>
  <c r="B12" i="8" s="1"/>
  <c r="C12" i="8" s="1"/>
  <c r="F36" i="7"/>
  <c r="C37" i="7" a="1"/>
  <c r="C37" i="7" s="1"/>
  <c r="F12" i="7"/>
  <c r="N37" i="7" l="1"/>
  <c r="M37" i="7"/>
  <c r="B37" i="7"/>
  <c r="I11" i="8"/>
  <c r="J11" i="8"/>
  <c r="F12" i="8"/>
  <c r="B13" i="8" a="1"/>
  <c r="B13" i="8" s="1"/>
  <c r="C13" i="8" s="1"/>
  <c r="F37" i="7"/>
  <c r="C38" i="7" a="1"/>
  <c r="C38" i="7" s="1"/>
  <c r="F13" i="7"/>
  <c r="N38" i="7" l="1"/>
  <c r="M38" i="7"/>
  <c r="B38" i="7"/>
  <c r="I12" i="8"/>
  <c r="J12" i="8"/>
  <c r="F13" i="8"/>
  <c r="B14" i="8" a="1"/>
  <c r="B14" i="8" s="1"/>
  <c r="C14" i="8" s="1"/>
  <c r="F38" i="7"/>
  <c r="C39" i="7" a="1"/>
  <c r="C39" i="7" s="1"/>
  <c r="F14" i="7"/>
  <c r="B39" i="7" l="1"/>
  <c r="N39" i="7"/>
  <c r="M39" i="7"/>
  <c r="I13" i="8"/>
  <c r="J13" i="8"/>
  <c r="B15" i="8" a="1"/>
  <c r="B15" i="8" s="1"/>
  <c r="C15" i="8" s="1"/>
  <c r="F14" i="8"/>
  <c r="F39" i="7"/>
  <c r="C40" i="7" a="1"/>
  <c r="C40" i="7" s="1"/>
  <c r="F15" i="7"/>
  <c r="B40" i="7" l="1"/>
  <c r="N40" i="7"/>
  <c r="M40" i="7"/>
  <c r="I14" i="8"/>
  <c r="J14" i="8"/>
  <c r="F15" i="8"/>
  <c r="B16" i="8" a="1"/>
  <c r="B16" i="8" s="1"/>
  <c r="C16" i="8" s="1"/>
  <c r="F40" i="7"/>
  <c r="C41" i="7" a="1"/>
  <c r="C41" i="7" s="1"/>
  <c r="F16" i="7"/>
  <c r="N41" i="7" l="1"/>
  <c r="B41" i="7"/>
  <c r="M41" i="7"/>
  <c r="I15" i="8"/>
  <c r="J15" i="8"/>
  <c r="F16" i="8"/>
  <c r="B17" i="8" a="1"/>
  <c r="B17" i="8" s="1"/>
  <c r="C17" i="8" s="1"/>
  <c r="C42" i="7" a="1"/>
  <c r="C42" i="7" s="1"/>
  <c r="F41" i="7"/>
  <c r="F17" i="7"/>
  <c r="N42" i="7" l="1"/>
  <c r="M42" i="7"/>
  <c r="B42" i="7"/>
  <c r="I16" i="8"/>
  <c r="J16" i="8"/>
  <c r="B18" i="8" a="1"/>
  <c r="B18" i="8" s="1"/>
  <c r="C18" i="8" s="1"/>
  <c r="F17" i="8"/>
  <c r="F42" i="7"/>
  <c r="C43" i="7" a="1"/>
  <c r="C43" i="7" s="1"/>
  <c r="F18" i="7"/>
  <c r="B43" i="7" l="1"/>
  <c r="N43" i="7"/>
  <c r="M43" i="7"/>
  <c r="I17" i="8"/>
  <c r="J17" i="8"/>
  <c r="F18" i="8"/>
  <c r="B19" i="8" a="1"/>
  <c r="B19" i="8" s="1"/>
  <c r="C19" i="8" s="1"/>
  <c r="F43" i="7"/>
  <c r="C44" i="7" a="1"/>
  <c r="C44" i="7" s="1"/>
  <c r="F19" i="7"/>
  <c r="N44" i="7" l="1"/>
  <c r="M44" i="7"/>
  <c r="B44" i="7"/>
  <c r="I18" i="8"/>
  <c r="J18" i="8"/>
  <c r="F19" i="8"/>
  <c r="B20" i="8" a="1"/>
  <c r="B20" i="8" s="1"/>
  <c r="C20" i="8" s="1"/>
  <c r="F44" i="7"/>
  <c r="C45" i="7" a="1"/>
  <c r="C45" i="7" s="1"/>
  <c r="F20" i="7"/>
  <c r="N45" i="7" l="1"/>
  <c r="M45" i="7"/>
  <c r="B45" i="7"/>
  <c r="I19" i="8"/>
  <c r="J19" i="8"/>
  <c r="F20" i="8"/>
  <c r="B21" i="8" a="1"/>
  <c r="B21" i="8" s="1"/>
  <c r="C21" i="8" s="1"/>
  <c r="F45" i="7"/>
  <c r="C46" i="7" a="1"/>
  <c r="C46" i="7" s="1"/>
  <c r="F21" i="7"/>
  <c r="N46" i="7" l="1"/>
  <c r="M46" i="7"/>
  <c r="B46" i="7"/>
  <c r="I20" i="8"/>
  <c r="J20" i="8"/>
  <c r="F21" i="8"/>
  <c r="B22" i="8" a="1"/>
  <c r="B22" i="8" s="1"/>
  <c r="C22" i="8" s="1"/>
  <c r="C47" i="7" a="1"/>
  <c r="C47" i="7" s="1"/>
  <c r="F46" i="7"/>
  <c r="F22" i="7"/>
  <c r="B47" i="7" l="1"/>
  <c r="N47" i="7"/>
  <c r="M47" i="7"/>
  <c r="I21" i="8"/>
  <c r="J21" i="8"/>
  <c r="F22" i="8"/>
  <c r="B23" i="8" a="1"/>
  <c r="B23" i="8" s="1"/>
  <c r="C23" i="8" s="1"/>
  <c r="F47" i="7"/>
  <c r="C48" i="7" a="1"/>
  <c r="C48" i="7" s="1"/>
  <c r="F23" i="7"/>
  <c r="B48" i="7" l="1"/>
  <c r="N48" i="7"/>
  <c r="M48" i="7"/>
  <c r="I22" i="8"/>
  <c r="J22" i="8"/>
  <c r="F23" i="8"/>
  <c r="B24" i="8" a="1"/>
  <c r="B24" i="8" s="1"/>
  <c r="C24" i="8" s="1"/>
  <c r="F48" i="7"/>
  <c r="C49" i="7" a="1"/>
  <c r="C49" i="7" s="1"/>
  <c r="F25" i="7"/>
  <c r="F24" i="7"/>
  <c r="N49" i="7" l="1"/>
  <c r="B49" i="7"/>
  <c r="M49" i="7"/>
  <c r="I23" i="8"/>
  <c r="J23" i="8"/>
  <c r="F24" i="8"/>
  <c r="B25" i="8" a="1"/>
  <c r="B25" i="8" s="1"/>
  <c r="C25" i="8" s="1"/>
  <c r="C50" i="7" a="1"/>
  <c r="C50" i="7" s="1"/>
  <c r="F49" i="7"/>
  <c r="N50" i="7" l="1"/>
  <c r="M50" i="7"/>
  <c r="B50" i="7"/>
  <c r="I24" i="8"/>
  <c r="J24" i="8"/>
  <c r="B26" i="8" a="1"/>
  <c r="B26" i="8" s="1"/>
  <c r="C26" i="8" s="1"/>
  <c r="F25" i="8"/>
  <c r="F50" i="7"/>
  <c r="C51" i="7" a="1"/>
  <c r="C51" i="7" s="1"/>
  <c r="B51" i="7" l="1"/>
  <c r="N51" i="7"/>
  <c r="M51" i="7"/>
  <c r="I25" i="8"/>
  <c r="J25" i="8"/>
  <c r="F26" i="8"/>
  <c r="B27" i="8" a="1"/>
  <c r="B27" i="8" s="1"/>
  <c r="C27" i="8" s="1"/>
  <c r="F51" i="7"/>
  <c r="C52" i="7" a="1"/>
  <c r="C52" i="7" s="1"/>
  <c r="N52" i="7" l="1"/>
  <c r="M52" i="7"/>
  <c r="B52" i="7"/>
  <c r="I26" i="8"/>
  <c r="J26" i="8"/>
  <c r="F27" i="8"/>
  <c r="B28" i="8" a="1"/>
  <c r="B28" i="8" s="1"/>
  <c r="C28" i="8" s="1"/>
  <c r="F52" i="7"/>
  <c r="C53" i="7" a="1"/>
  <c r="C53" i="7" s="1"/>
  <c r="N53" i="7" l="1"/>
  <c r="M53" i="7"/>
  <c r="B53" i="7"/>
  <c r="I27" i="8"/>
  <c r="J27" i="8"/>
  <c r="F28" i="8"/>
  <c r="B29" i="8" a="1"/>
  <c r="B29" i="8" s="1"/>
  <c r="C29" i="8" s="1"/>
  <c r="F53" i="7"/>
  <c r="C54" i="7" a="1"/>
  <c r="C54" i="7" s="1"/>
  <c r="N54" i="7" l="1"/>
  <c r="M54" i="7"/>
  <c r="B54" i="7"/>
  <c r="I28" i="8"/>
  <c r="J28" i="8"/>
  <c r="F29" i="8"/>
  <c r="B30" i="8" a="1"/>
  <c r="B30" i="8" s="1"/>
  <c r="C30" i="8" s="1"/>
  <c r="F54" i="7"/>
  <c r="C55" i="7" a="1"/>
  <c r="C55" i="7" s="1"/>
  <c r="B55" i="7" l="1"/>
  <c r="N55" i="7"/>
  <c r="M55" i="7"/>
  <c r="I29" i="8"/>
  <c r="J29" i="8"/>
  <c r="B31" i="8" a="1"/>
  <c r="B31" i="8" s="1"/>
  <c r="C31" i="8" s="1"/>
  <c r="F30" i="8"/>
  <c r="F55" i="7"/>
  <c r="C56" i="7" a="1"/>
  <c r="C56" i="7" s="1"/>
  <c r="B56" i="7" l="1"/>
  <c r="N56" i="7"/>
  <c r="M56" i="7"/>
  <c r="I30" i="8"/>
  <c r="J30" i="8"/>
  <c r="F31" i="8"/>
  <c r="B32" i="8" a="1"/>
  <c r="B32" i="8" s="1"/>
  <c r="C32" i="8" s="1"/>
  <c r="F56" i="7"/>
  <c r="C57" i="7" a="1"/>
  <c r="C57" i="7" s="1"/>
  <c r="N57" i="7" l="1"/>
  <c r="B57" i="7"/>
  <c r="M57" i="7"/>
  <c r="I31" i="8"/>
  <c r="J31" i="8"/>
  <c r="F32" i="8"/>
  <c r="B33" i="8" a="1"/>
  <c r="B33" i="8" s="1"/>
  <c r="C33" i="8" s="1"/>
  <c r="C58" i="7" a="1"/>
  <c r="C58" i="7" s="1"/>
  <c r="F57" i="7"/>
  <c r="N58" i="7" l="1"/>
  <c r="M58" i="7"/>
  <c r="B58" i="7"/>
  <c r="I32" i="8"/>
  <c r="J32" i="8"/>
  <c r="B34" i="8" a="1"/>
  <c r="B34" i="8" s="1"/>
  <c r="C34" i="8" s="1"/>
  <c r="F33" i="8"/>
  <c r="F58" i="7"/>
  <c r="C59" i="7" a="1"/>
  <c r="C59" i="7" s="1"/>
  <c r="B59" i="7" l="1"/>
  <c r="N59" i="7"/>
  <c r="M59" i="7"/>
  <c r="I33" i="8"/>
  <c r="J33" i="8"/>
  <c r="F34" i="8"/>
  <c r="B35" i="8" a="1"/>
  <c r="B35" i="8" s="1"/>
  <c r="C35" i="8" s="1"/>
  <c r="F59" i="7"/>
  <c r="C60" i="7" a="1"/>
  <c r="C60" i="7" s="1"/>
  <c r="N60" i="7" l="1"/>
  <c r="M60" i="7"/>
  <c r="B60" i="7"/>
  <c r="I34" i="8"/>
  <c r="J34" i="8"/>
  <c r="F35" i="8"/>
  <c r="B36" i="8" a="1"/>
  <c r="B36" i="8" s="1"/>
  <c r="C36" i="8" s="1"/>
  <c r="F60" i="7"/>
  <c r="C61" i="7" a="1"/>
  <c r="C61" i="7" s="1"/>
  <c r="N61" i="7" l="1"/>
  <c r="M61" i="7"/>
  <c r="B61" i="7"/>
  <c r="I35" i="8"/>
  <c r="J35" i="8"/>
  <c r="F36" i="8"/>
  <c r="B37" i="8" a="1"/>
  <c r="B37" i="8" s="1"/>
  <c r="C37" i="8" s="1"/>
  <c r="F61" i="7"/>
  <c r="C62" i="7" a="1"/>
  <c r="C62" i="7" s="1"/>
  <c r="N62" i="7" l="1"/>
  <c r="M62" i="7"/>
  <c r="B62" i="7"/>
  <c r="I36" i="8"/>
  <c r="J36" i="8"/>
  <c r="F37" i="8"/>
  <c r="B38" i="8" a="1"/>
  <c r="B38" i="8" s="1"/>
  <c r="C38" i="8" s="1"/>
  <c r="C63" i="7" a="1"/>
  <c r="C63" i="7" s="1"/>
  <c r="F62" i="7"/>
  <c r="B63" i="7" l="1"/>
  <c r="N63" i="7"/>
  <c r="M63" i="7"/>
  <c r="I37" i="8"/>
  <c r="J37" i="8"/>
  <c r="F38" i="8"/>
  <c r="B39" i="8" a="1"/>
  <c r="B39" i="8" s="1"/>
  <c r="C39" i="8" s="1"/>
  <c r="F63" i="7"/>
  <c r="C64" i="7" a="1"/>
  <c r="C64" i="7" s="1"/>
  <c r="B64" i="7" l="1"/>
  <c r="N64" i="7"/>
  <c r="M64" i="7"/>
  <c r="I38" i="8"/>
  <c r="J38" i="8"/>
  <c r="F39" i="8"/>
  <c r="B40" i="8" a="1"/>
  <c r="B40" i="8" s="1"/>
  <c r="C40" i="8" s="1"/>
  <c r="F64" i="7"/>
  <c r="C65" i="7" a="1"/>
  <c r="C65" i="7" s="1"/>
  <c r="N65" i="7" l="1"/>
  <c r="B65" i="7"/>
  <c r="M65" i="7"/>
  <c r="I39" i="8"/>
  <c r="J39" i="8"/>
  <c r="F40" i="8"/>
  <c r="B41" i="8" a="1"/>
  <c r="B41" i="8" s="1"/>
  <c r="C41" i="8" s="1"/>
  <c r="C66" i="7" a="1"/>
  <c r="C66" i="7" s="1"/>
  <c r="F65" i="7"/>
  <c r="N66" i="7" l="1"/>
  <c r="M66" i="7"/>
  <c r="B66" i="7"/>
  <c r="I40" i="8"/>
  <c r="J40" i="8"/>
  <c r="B42" i="8" a="1"/>
  <c r="B42" i="8" s="1"/>
  <c r="C42" i="8" s="1"/>
  <c r="F41" i="8"/>
  <c r="F66" i="7"/>
  <c r="C67" i="7" a="1"/>
  <c r="C67" i="7" s="1"/>
  <c r="B67" i="7" l="1"/>
  <c r="N67" i="7"/>
  <c r="M67" i="7"/>
  <c r="I41" i="8"/>
  <c r="J41" i="8"/>
  <c r="F42" i="8"/>
  <c r="B43" i="8" a="1"/>
  <c r="B43" i="8" s="1"/>
  <c r="C43" i="8" s="1"/>
  <c r="F67" i="7"/>
  <c r="C68" i="7" a="1"/>
  <c r="C68" i="7" s="1"/>
  <c r="N68" i="7" l="1"/>
  <c r="M68" i="7"/>
  <c r="B68" i="7"/>
  <c r="I42" i="8"/>
  <c r="J42" i="8"/>
  <c r="F43" i="8"/>
  <c r="B44" i="8" a="1"/>
  <c r="B44" i="8" s="1"/>
  <c r="C44" i="8" s="1"/>
  <c r="F68" i="7"/>
  <c r="C69" i="7" a="1"/>
  <c r="C69" i="7" s="1"/>
  <c r="N69" i="7" l="1"/>
  <c r="M69" i="7"/>
  <c r="B69" i="7"/>
  <c r="I43" i="8"/>
  <c r="J43" i="8"/>
  <c r="F44" i="8"/>
  <c r="B45" i="8" a="1"/>
  <c r="B45" i="8" s="1"/>
  <c r="C45" i="8" s="1"/>
  <c r="F69" i="7"/>
  <c r="C70" i="7" a="1"/>
  <c r="C70" i="7" s="1"/>
  <c r="N70" i="7" l="1"/>
  <c r="M70" i="7"/>
  <c r="B70" i="7"/>
  <c r="I44" i="8"/>
  <c r="J44" i="8"/>
  <c r="F45" i="8"/>
  <c r="B46" i="8" a="1"/>
  <c r="B46" i="8" s="1"/>
  <c r="C46" i="8" s="1"/>
  <c r="C71" i="7" a="1"/>
  <c r="C71" i="7" s="1"/>
  <c r="F70" i="7"/>
  <c r="B71" i="7" l="1"/>
  <c r="N71" i="7"/>
  <c r="M71" i="7"/>
  <c r="I45" i="8"/>
  <c r="J45" i="8"/>
  <c r="B47" i="8" a="1"/>
  <c r="B47" i="8" s="1"/>
  <c r="C47" i="8" s="1"/>
  <c r="F46" i="8"/>
  <c r="F71" i="7"/>
  <c r="C72" i="7" a="1"/>
  <c r="C72" i="7" s="1"/>
  <c r="B72" i="7" l="1"/>
  <c r="N72" i="7"/>
  <c r="M72" i="7"/>
  <c r="I46" i="8"/>
  <c r="J46" i="8"/>
  <c r="F47" i="8"/>
  <c r="B48" i="8" a="1"/>
  <c r="B48" i="8" s="1"/>
  <c r="C48" i="8" s="1"/>
  <c r="F72" i="7"/>
  <c r="C73" i="7" a="1"/>
  <c r="C73" i="7" s="1"/>
  <c r="N73" i="7" l="1"/>
  <c r="B73" i="7"/>
  <c r="M73" i="7"/>
  <c r="I47" i="8"/>
  <c r="J47" i="8"/>
  <c r="F48" i="8"/>
  <c r="B49" i="8" a="1"/>
  <c r="B49" i="8" s="1"/>
  <c r="C49" i="8" s="1"/>
  <c r="C74" i="7" a="1"/>
  <c r="C74" i="7" s="1"/>
  <c r="F73" i="7"/>
  <c r="N74" i="7" l="1"/>
  <c r="M74" i="7"/>
  <c r="B74" i="7"/>
  <c r="I48" i="8"/>
  <c r="J48" i="8"/>
  <c r="B50" i="8" a="1"/>
  <c r="B50" i="8" s="1"/>
  <c r="C50" i="8" s="1"/>
  <c r="F49" i="8"/>
  <c r="F74" i="7"/>
  <c r="C75" i="7" a="1"/>
  <c r="C75" i="7" s="1"/>
  <c r="B75" i="7" l="1"/>
  <c r="N75" i="7"/>
  <c r="M75" i="7"/>
  <c r="I49" i="8"/>
  <c r="J49" i="8"/>
  <c r="F50" i="8"/>
  <c r="B51" i="8" a="1"/>
  <c r="B51" i="8" s="1"/>
  <c r="C51" i="8" s="1"/>
  <c r="F75" i="7"/>
  <c r="C76" i="7" a="1"/>
  <c r="C76" i="7" s="1"/>
  <c r="N76" i="7" l="1"/>
  <c r="M76" i="7"/>
  <c r="B76" i="7"/>
  <c r="I50" i="8"/>
  <c r="J50" i="8"/>
  <c r="F51" i="8"/>
  <c r="B52" i="8" a="1"/>
  <c r="B52" i="8" s="1"/>
  <c r="C52" i="8" s="1"/>
  <c r="F76" i="7"/>
  <c r="C77" i="7" a="1"/>
  <c r="C77" i="7" s="1"/>
  <c r="N77" i="7" l="1"/>
  <c r="M77" i="7"/>
  <c r="B77" i="7"/>
  <c r="I51" i="8"/>
  <c r="J51" i="8"/>
  <c r="F52" i="8"/>
  <c r="B53" i="8" a="1"/>
  <c r="B53" i="8" s="1"/>
  <c r="C53" i="8" s="1"/>
  <c r="F77" i="7"/>
  <c r="C78" i="7" a="1"/>
  <c r="C78" i="7" s="1"/>
  <c r="N78" i="7" l="1"/>
  <c r="M78" i="7"/>
  <c r="B78" i="7"/>
  <c r="I52" i="8"/>
  <c r="J52" i="8"/>
  <c r="F53" i="8"/>
  <c r="B54" i="8" a="1"/>
  <c r="B54" i="8" s="1"/>
  <c r="C54" i="8" s="1"/>
  <c r="C79" i="7" a="1"/>
  <c r="C79" i="7" s="1"/>
  <c r="F78" i="7"/>
  <c r="B79" i="7" l="1"/>
  <c r="N79" i="7"/>
  <c r="M79" i="7"/>
  <c r="I53" i="8"/>
  <c r="J53" i="8"/>
  <c r="B55" i="8" a="1"/>
  <c r="B55" i="8" s="1"/>
  <c r="C55" i="8" s="1"/>
  <c r="F54" i="8"/>
  <c r="F79" i="7"/>
  <c r="C80" i="7" a="1"/>
  <c r="C80" i="7" s="1"/>
  <c r="B80" i="7" l="1"/>
  <c r="N80" i="7"/>
  <c r="M80" i="7"/>
  <c r="I54" i="8"/>
  <c r="J54" i="8"/>
  <c r="F55" i="8"/>
  <c r="B56" i="8" a="1"/>
  <c r="B56" i="8" s="1"/>
  <c r="C56" i="8" s="1"/>
  <c r="F80" i="7"/>
  <c r="C81" i="7" a="1"/>
  <c r="C81" i="7" s="1"/>
  <c r="N81" i="7" l="1"/>
  <c r="B81" i="7"/>
  <c r="M81" i="7"/>
  <c r="I55" i="8"/>
  <c r="J55" i="8"/>
  <c r="F56" i="8"/>
  <c r="B57" i="8" a="1"/>
  <c r="B57" i="8" s="1"/>
  <c r="C57" i="8" s="1"/>
  <c r="C82" i="7" a="1"/>
  <c r="C82" i="7" s="1"/>
  <c r="F81" i="7"/>
  <c r="N82" i="7" l="1"/>
  <c r="M82" i="7"/>
  <c r="B82" i="7"/>
  <c r="I56" i="8"/>
  <c r="J56" i="8"/>
  <c r="B58" i="8" a="1"/>
  <c r="B58" i="8" s="1"/>
  <c r="C58" i="8" s="1"/>
  <c r="F57" i="8"/>
  <c r="F82" i="7"/>
  <c r="C83" i="7" a="1"/>
  <c r="C83" i="7" s="1"/>
  <c r="B83" i="7" l="1"/>
  <c r="N83" i="7"/>
  <c r="M83" i="7"/>
  <c r="I57" i="8"/>
  <c r="J57" i="8"/>
  <c r="F58" i="8"/>
  <c r="B59" i="8" a="1"/>
  <c r="B59" i="8" s="1"/>
  <c r="C59" i="8" s="1"/>
  <c r="F83" i="7"/>
  <c r="C84" i="7" a="1"/>
  <c r="C84" i="7" s="1"/>
  <c r="N84" i="7" l="1"/>
  <c r="M84" i="7"/>
  <c r="B84" i="7"/>
  <c r="I58" i="8"/>
  <c r="J58" i="8"/>
  <c r="F59" i="8"/>
  <c r="B60" i="8" a="1"/>
  <c r="B60" i="8" s="1"/>
  <c r="C60" i="8" s="1"/>
  <c r="F84" i="7"/>
  <c r="C85" i="7" a="1"/>
  <c r="C85" i="7" s="1"/>
  <c r="N85" i="7" l="1"/>
  <c r="M85" i="7"/>
  <c r="B85" i="7"/>
  <c r="I59" i="8"/>
  <c r="J59" i="8"/>
  <c r="F60" i="8"/>
  <c r="B61" i="8" a="1"/>
  <c r="B61" i="8" s="1"/>
  <c r="C61" i="8" s="1"/>
  <c r="F85" i="7"/>
  <c r="C86" i="7" a="1"/>
  <c r="C86" i="7" s="1"/>
  <c r="N86" i="7" l="1"/>
  <c r="M86" i="7"/>
  <c r="B86" i="7"/>
  <c r="I60" i="8"/>
  <c r="J60" i="8"/>
  <c r="F61" i="8"/>
  <c r="B62" i="8" a="1"/>
  <c r="B62" i="8" s="1"/>
  <c r="C62" i="8" s="1"/>
  <c r="F86" i="7"/>
  <c r="C87" i="7" a="1"/>
  <c r="C87" i="7" s="1"/>
  <c r="B87" i="7" l="1"/>
  <c r="N87" i="7"/>
  <c r="M87" i="7"/>
  <c r="I61" i="8"/>
  <c r="J61" i="8"/>
  <c r="F62" i="8"/>
  <c r="B63" i="8" a="1"/>
  <c r="B63" i="8" s="1"/>
  <c r="C63" i="8" s="1"/>
  <c r="F87" i="7"/>
  <c r="C88" i="7" a="1"/>
  <c r="C88" i="7" s="1"/>
  <c r="B88" i="7" l="1"/>
  <c r="N88" i="7"/>
  <c r="M88" i="7"/>
  <c r="I62" i="8"/>
  <c r="J62" i="8"/>
  <c r="F63" i="8"/>
  <c r="B64" i="8" a="1"/>
  <c r="B64" i="8" s="1"/>
  <c r="C64" i="8" s="1"/>
  <c r="F88" i="7"/>
  <c r="C89" i="7" a="1"/>
  <c r="C89" i="7" s="1"/>
  <c r="N89" i="7" l="1"/>
  <c r="B89" i="7"/>
  <c r="M89" i="7"/>
  <c r="I63" i="8"/>
  <c r="J63" i="8"/>
  <c r="F64" i="8"/>
  <c r="B65" i="8" a="1"/>
  <c r="B65" i="8" s="1"/>
  <c r="C65" i="8" s="1"/>
  <c r="C90" i="7" a="1"/>
  <c r="C90" i="7" s="1"/>
  <c r="F89" i="7"/>
  <c r="N90" i="7" l="1"/>
  <c r="M90" i="7"/>
  <c r="B90" i="7"/>
  <c r="I64" i="8"/>
  <c r="J64" i="8"/>
  <c r="B66" i="8" a="1"/>
  <c r="B66" i="8" s="1"/>
  <c r="C66" i="8" s="1"/>
  <c r="F65" i="8"/>
  <c r="F90" i="7"/>
  <c r="C91" i="7" a="1"/>
  <c r="C91" i="7" s="1"/>
  <c r="B91" i="7" l="1"/>
  <c r="N91" i="7"/>
  <c r="M91" i="7"/>
  <c r="I65" i="8"/>
  <c r="J65" i="8"/>
  <c r="B67" i="8" a="1"/>
  <c r="B67" i="8" s="1"/>
  <c r="C67" i="8" s="1"/>
  <c r="F66" i="8"/>
  <c r="F91" i="7"/>
  <c r="C92" i="7" a="1"/>
  <c r="C92" i="7" s="1"/>
  <c r="N92" i="7" l="1"/>
  <c r="M92" i="7"/>
  <c r="B92" i="7"/>
  <c r="I66" i="8"/>
  <c r="J66" i="8"/>
  <c r="F67" i="8"/>
  <c r="B68" i="8" a="1"/>
  <c r="B68" i="8" s="1"/>
  <c r="C68" i="8" s="1"/>
  <c r="F92" i="7"/>
  <c r="C93" i="7" a="1"/>
  <c r="C93" i="7" s="1"/>
  <c r="N93" i="7" l="1"/>
  <c r="M93" i="7"/>
  <c r="B93" i="7"/>
  <c r="I67" i="8"/>
  <c r="J67" i="8"/>
  <c r="F68" i="8"/>
  <c r="B69" i="8" a="1"/>
  <c r="B69" i="8" s="1"/>
  <c r="C69" i="8" s="1"/>
  <c r="F93" i="7"/>
  <c r="C94" i="7" a="1"/>
  <c r="C94" i="7" s="1"/>
  <c r="N94" i="7" l="1"/>
  <c r="M94" i="7"/>
  <c r="B94" i="7"/>
  <c r="I68" i="8"/>
  <c r="J68" i="8"/>
  <c r="F69" i="8"/>
  <c r="B70" i="8" a="1"/>
  <c r="B70" i="8" s="1"/>
  <c r="C70" i="8" s="1"/>
  <c r="C95" i="7" a="1"/>
  <c r="C95" i="7" s="1"/>
  <c r="F94" i="7"/>
  <c r="B95" i="7" l="1"/>
  <c r="N95" i="7"/>
  <c r="M95" i="7"/>
  <c r="I69" i="8"/>
  <c r="J69" i="8"/>
  <c r="B71" i="8" a="1"/>
  <c r="B71" i="8" s="1"/>
  <c r="C71" i="8" s="1"/>
  <c r="F70" i="8"/>
  <c r="F95" i="7"/>
  <c r="C96" i="7" a="1"/>
  <c r="C96" i="7" s="1"/>
  <c r="B96" i="7" l="1"/>
  <c r="N96" i="7"/>
  <c r="M96" i="7"/>
  <c r="I70" i="8"/>
  <c r="J70" i="8"/>
  <c r="F71" i="8"/>
  <c r="B72" i="8" a="1"/>
  <c r="B72" i="8" s="1"/>
  <c r="C72" i="8" s="1"/>
  <c r="F96" i="7"/>
  <c r="C97" i="7" a="1"/>
  <c r="C97" i="7" s="1"/>
  <c r="N97" i="7" l="1"/>
  <c r="B97" i="7"/>
  <c r="M97" i="7"/>
  <c r="I71" i="8"/>
  <c r="J71" i="8"/>
  <c r="F72" i="8"/>
  <c r="B73" i="8" a="1"/>
  <c r="B73" i="8" s="1"/>
  <c r="C73" i="8" s="1"/>
  <c r="C98" i="7" a="1"/>
  <c r="C98" i="7" s="1"/>
  <c r="F97" i="7"/>
  <c r="N98" i="7" l="1"/>
  <c r="M98" i="7"/>
  <c r="B98" i="7"/>
  <c r="I72" i="8"/>
  <c r="J72" i="8"/>
  <c r="B74" i="8" a="1"/>
  <c r="B74" i="8" s="1"/>
  <c r="C74" i="8" s="1"/>
  <c r="F73" i="8"/>
  <c r="F98" i="7"/>
  <c r="C99" i="7" a="1"/>
  <c r="C99" i="7" s="1"/>
  <c r="B99" i="7" l="1"/>
  <c r="N99" i="7"/>
  <c r="M99" i="7"/>
  <c r="I73" i="8"/>
  <c r="J73" i="8"/>
  <c r="F74" i="8"/>
  <c r="B75" i="8" a="1"/>
  <c r="B75" i="8" s="1"/>
  <c r="C75" i="8" s="1"/>
  <c r="F99" i="7"/>
  <c r="C100" i="7" a="1"/>
  <c r="C100" i="7" s="1"/>
  <c r="N100" i="7" l="1"/>
  <c r="M100" i="7"/>
  <c r="B100" i="7"/>
  <c r="I74" i="8"/>
  <c r="J74" i="8"/>
  <c r="F75" i="8"/>
  <c r="B76" i="8" a="1"/>
  <c r="B76" i="8" s="1"/>
  <c r="C76" i="8" s="1"/>
  <c r="F100" i="7"/>
  <c r="C101" i="7" a="1"/>
  <c r="C101" i="7" s="1"/>
  <c r="N101" i="7" l="1"/>
  <c r="M101" i="7"/>
  <c r="B101" i="7"/>
  <c r="I75" i="8"/>
  <c r="J75" i="8"/>
  <c r="F76" i="8"/>
  <c r="B77" i="8" a="1"/>
  <c r="B77" i="8" s="1"/>
  <c r="C77" i="8" s="1"/>
  <c r="F101" i="7"/>
  <c r="C102" i="7" a="1"/>
  <c r="C102" i="7" s="1"/>
  <c r="N102" i="7" l="1"/>
  <c r="M102" i="7"/>
  <c r="B102" i="7"/>
  <c r="I76" i="8"/>
  <c r="J76" i="8"/>
  <c r="F77" i="8"/>
  <c r="B78" i="8" a="1"/>
  <c r="B78" i="8" s="1"/>
  <c r="C78" i="8" s="1"/>
  <c r="F102" i="7"/>
  <c r="C103" i="7" a="1"/>
  <c r="C103" i="7" s="1"/>
  <c r="B103" i="7" l="1"/>
  <c r="N103" i="7"/>
  <c r="M103" i="7"/>
  <c r="I77" i="8"/>
  <c r="J77" i="8"/>
  <c r="B79" i="8" a="1"/>
  <c r="B79" i="8" s="1"/>
  <c r="C79" i="8" s="1"/>
  <c r="F78" i="8"/>
  <c r="C104" i="7" a="1"/>
  <c r="C104" i="7" s="1"/>
  <c r="F103" i="7"/>
  <c r="B104" i="7" l="1"/>
  <c r="N104" i="7"/>
  <c r="M104" i="7"/>
  <c r="I78" i="8"/>
  <c r="J78" i="8"/>
  <c r="F79" i="8"/>
  <c r="B80" i="8" a="1"/>
  <c r="B80" i="8" s="1"/>
  <c r="C80" i="8" s="1"/>
  <c r="F104" i="7"/>
  <c r="C105" i="7" a="1"/>
  <c r="C105" i="7" s="1"/>
  <c r="N105" i="7" l="1"/>
  <c r="B105" i="7"/>
  <c r="M105" i="7"/>
  <c r="I79" i="8"/>
  <c r="J79" i="8"/>
  <c r="F80" i="8"/>
  <c r="B81" i="8" a="1"/>
  <c r="B81" i="8" s="1"/>
  <c r="C81" i="8" s="1"/>
  <c r="F105" i="7"/>
  <c r="C106" i="7" a="1"/>
  <c r="C106" i="7" s="1"/>
  <c r="N106" i="7" l="1"/>
  <c r="M106" i="7"/>
  <c r="B106" i="7"/>
  <c r="I80" i="8"/>
  <c r="J80" i="8"/>
  <c r="B82" i="8" a="1"/>
  <c r="B82" i="8" s="1"/>
  <c r="C82" i="8" s="1"/>
  <c r="F81" i="8"/>
  <c r="F106" i="7"/>
  <c r="C107" i="7" a="1"/>
  <c r="C107" i="7" s="1"/>
  <c r="B107" i="7" l="1"/>
  <c r="N107" i="7"/>
  <c r="M107" i="7"/>
  <c r="I81" i="8"/>
  <c r="J81" i="8"/>
  <c r="B83" i="8" a="1"/>
  <c r="B83" i="8" s="1"/>
  <c r="C83" i="8" s="1"/>
  <c r="F82" i="8"/>
  <c r="F107" i="7"/>
  <c r="C108" i="7" a="1"/>
  <c r="C108" i="7" s="1"/>
  <c r="N108" i="7" l="1"/>
  <c r="M108" i="7"/>
  <c r="B108" i="7"/>
  <c r="I82" i="8"/>
  <c r="J82" i="8"/>
  <c r="F83" i="8"/>
  <c r="B84" i="8" a="1"/>
  <c r="B84" i="8" s="1"/>
  <c r="C84" i="8" s="1"/>
  <c r="F108" i="7"/>
  <c r="C109" i="7" a="1"/>
  <c r="C109" i="7" s="1"/>
  <c r="N109" i="7" l="1"/>
  <c r="M109" i="7"/>
  <c r="B109" i="7"/>
  <c r="I83" i="8"/>
  <c r="J83" i="8"/>
  <c r="F84" i="8"/>
  <c r="B85" i="8" a="1"/>
  <c r="B85" i="8" s="1"/>
  <c r="C85" i="8" s="1"/>
  <c r="C110" i="7" a="1"/>
  <c r="C110" i="7" s="1"/>
  <c r="F109" i="7"/>
  <c r="N110" i="7" l="1"/>
  <c r="M110" i="7"/>
  <c r="B110" i="7"/>
  <c r="I84" i="8"/>
  <c r="J84" i="8"/>
  <c r="F85" i="8"/>
  <c r="B86" i="8" a="1"/>
  <c r="B86" i="8" s="1"/>
  <c r="C86" i="8" s="1"/>
  <c r="C111" i="7" a="1"/>
  <c r="C111" i="7" s="1"/>
  <c r="F110" i="7"/>
  <c r="B111" i="7" l="1"/>
  <c r="N111" i="7"/>
  <c r="M111" i="7"/>
  <c r="I85" i="8"/>
  <c r="J85" i="8"/>
  <c r="F86" i="8"/>
  <c r="B87" i="8" a="1"/>
  <c r="B87" i="8" s="1"/>
  <c r="C87" i="8" s="1"/>
  <c r="F111" i="7"/>
  <c r="C112" i="7" a="1"/>
  <c r="C112" i="7" s="1"/>
  <c r="B112" i="7" l="1"/>
  <c r="N112" i="7"/>
  <c r="M112" i="7"/>
  <c r="I86" i="8"/>
  <c r="J86" i="8"/>
  <c r="F87" i="8"/>
  <c r="B88" i="8" a="1"/>
  <c r="B88" i="8" s="1"/>
  <c r="C88" i="8" s="1"/>
  <c r="F112" i="7"/>
  <c r="C113" i="7" a="1"/>
  <c r="C113" i="7" s="1"/>
  <c r="N113" i="7" l="1"/>
  <c r="B113" i="7"/>
  <c r="M113" i="7"/>
  <c r="I87" i="8"/>
  <c r="J87" i="8"/>
  <c r="F88" i="8"/>
  <c r="B89" i="8" a="1"/>
  <c r="B89" i="8" s="1"/>
  <c r="C89" i="8" s="1"/>
  <c r="F113" i="7"/>
  <c r="C114" i="7" a="1"/>
  <c r="C114" i="7" s="1"/>
  <c r="N114" i="7" l="1"/>
  <c r="M114" i="7"/>
  <c r="B114" i="7"/>
  <c r="I88" i="8"/>
  <c r="J88" i="8"/>
  <c r="B90" i="8" a="1"/>
  <c r="B90" i="8" s="1"/>
  <c r="C90" i="8" s="1"/>
  <c r="F89" i="8"/>
  <c r="F114" i="7"/>
  <c r="C115" i="7" a="1"/>
  <c r="C115" i="7" s="1"/>
  <c r="B115" i="7" l="1"/>
  <c r="N115" i="7"/>
  <c r="M115" i="7"/>
  <c r="I89" i="8"/>
  <c r="J89" i="8"/>
  <c r="F90" i="8"/>
  <c r="B91" i="8" a="1"/>
  <c r="B91" i="8" s="1"/>
  <c r="C91" i="8" s="1"/>
  <c r="F115" i="7"/>
  <c r="C116" i="7" a="1"/>
  <c r="C116" i="7" s="1"/>
  <c r="N116" i="7" l="1"/>
  <c r="M116" i="7"/>
  <c r="B116" i="7"/>
  <c r="I90" i="8"/>
  <c r="J90" i="8"/>
  <c r="F91" i="8"/>
  <c r="B92" i="8" a="1"/>
  <c r="B92" i="8" s="1"/>
  <c r="C92" i="8" s="1"/>
  <c r="F116" i="7"/>
  <c r="C117" i="7" a="1"/>
  <c r="C117" i="7" s="1"/>
  <c r="N117" i="7" l="1"/>
  <c r="M117" i="7"/>
  <c r="B117" i="7"/>
  <c r="I91" i="8"/>
  <c r="J91" i="8"/>
  <c r="F92" i="8"/>
  <c r="B93" i="8" a="1"/>
  <c r="B93" i="8" s="1"/>
  <c r="C93" i="8" s="1"/>
  <c r="C118" i="7" a="1"/>
  <c r="C118" i="7" s="1"/>
  <c r="F117" i="7"/>
  <c r="N118" i="7" l="1"/>
  <c r="M118" i="7"/>
  <c r="B118" i="7"/>
  <c r="I92" i="8"/>
  <c r="J92" i="8"/>
  <c r="F93" i="8"/>
  <c r="B94" i="8" a="1"/>
  <c r="B94" i="8" s="1"/>
  <c r="C94" i="8" s="1"/>
  <c r="C119" i="7" a="1"/>
  <c r="C119" i="7" s="1"/>
  <c r="F118" i="7"/>
  <c r="B119" i="7" l="1"/>
  <c r="N119" i="7"/>
  <c r="M119" i="7"/>
  <c r="I93" i="8"/>
  <c r="J93" i="8"/>
  <c r="B95" i="8" a="1"/>
  <c r="B95" i="8" s="1"/>
  <c r="C95" i="8" s="1"/>
  <c r="F94" i="8"/>
  <c r="F119" i="7"/>
  <c r="C120" i="7" a="1"/>
  <c r="C120" i="7" s="1"/>
  <c r="B120" i="7" l="1"/>
  <c r="N120" i="7"/>
  <c r="M120" i="7"/>
  <c r="I94" i="8"/>
  <c r="J94" i="8"/>
  <c r="F95" i="8"/>
  <c r="F120" i="7"/>
  <c r="C121" i="7" a="1"/>
  <c r="C121" i="7" s="1"/>
  <c r="N121" i="7" l="1"/>
  <c r="B121" i="7"/>
  <c r="M121" i="7"/>
  <c r="I95" i="8"/>
  <c r="J95" i="8"/>
  <c r="F121" i="7"/>
  <c r="C122" i="7" a="1"/>
  <c r="C122" i="7" s="1"/>
  <c r="N122" i="7" l="1"/>
  <c r="M122" i="7"/>
  <c r="B122" i="7"/>
  <c r="F122" i="7"/>
  <c r="C123" i="7" a="1"/>
  <c r="C123" i="7" s="1"/>
  <c r="B123" i="7" l="1"/>
  <c r="N123" i="7"/>
  <c r="M123" i="7"/>
  <c r="F123" i="7"/>
  <c r="C124" i="7" a="1"/>
  <c r="C124" i="7" s="1"/>
  <c r="N124" i="7" l="1"/>
  <c r="M124" i="7"/>
  <c r="B124" i="7"/>
  <c r="F124" i="7"/>
  <c r="C125" i="7" a="1"/>
  <c r="C125" i="7" s="1"/>
  <c r="N125" i="7" l="1"/>
  <c r="M125" i="7"/>
  <c r="B125" i="7"/>
  <c r="C126" i="7" a="1"/>
  <c r="C126" i="7" s="1"/>
  <c r="F125" i="7"/>
  <c r="N126" i="7" l="1"/>
  <c r="M126" i="7"/>
  <c r="B126" i="7"/>
  <c r="C127" i="7" a="1"/>
  <c r="C127" i="7" s="1"/>
  <c r="F126" i="7"/>
  <c r="B127" i="7" l="1"/>
  <c r="N127" i="7"/>
  <c r="M127" i="7"/>
  <c r="C128" i="7" a="1"/>
  <c r="C128" i="7" s="1"/>
  <c r="F127" i="7"/>
  <c r="B128" i="7" l="1"/>
  <c r="N128" i="7"/>
  <c r="M128" i="7"/>
  <c r="F128" i="7"/>
  <c r="C129" i="7" a="1"/>
  <c r="C129" i="7" s="1"/>
  <c r="N129" i="7" l="1"/>
  <c r="B129" i="7"/>
  <c r="M129" i="7"/>
  <c r="F129" i="7"/>
  <c r="C130" i="7" a="1"/>
  <c r="C130" i="7" s="1"/>
  <c r="N130" i="7" l="1"/>
  <c r="M130" i="7"/>
  <c r="B130" i="7"/>
  <c r="F130" i="7"/>
  <c r="C131" i="7" a="1"/>
  <c r="C131" i="7" s="1"/>
  <c r="B131" i="7" l="1"/>
  <c r="N131" i="7"/>
  <c r="M131" i="7"/>
  <c r="F131" i="7"/>
  <c r="C132" i="7" a="1"/>
  <c r="C132" i="7" s="1"/>
  <c r="N132" i="7" l="1"/>
  <c r="M132" i="7"/>
  <c r="B132" i="7"/>
  <c r="F132" i="7"/>
  <c r="C133" i="7" a="1"/>
  <c r="C133" i="7" s="1"/>
  <c r="N133" i="7" l="1"/>
  <c r="M133" i="7"/>
  <c r="B133" i="7"/>
  <c r="C134" i="7" a="1"/>
  <c r="C134" i="7" s="1"/>
  <c r="F133" i="7"/>
  <c r="N134" i="7" l="1"/>
  <c r="M134" i="7"/>
  <c r="B134" i="7"/>
  <c r="C135" i="7" a="1"/>
  <c r="C135" i="7" s="1"/>
  <c r="F134" i="7"/>
  <c r="B135" i="7" l="1"/>
  <c r="N135" i="7"/>
  <c r="M135" i="7"/>
  <c r="F135" i="7"/>
  <c r="C136" i="7" a="1"/>
  <c r="C136" i="7" s="1"/>
  <c r="B136" i="7" l="1"/>
  <c r="N136" i="7"/>
  <c r="M136" i="7"/>
  <c r="F136" i="7"/>
  <c r="C137" i="7" a="1"/>
  <c r="C137" i="7" s="1"/>
  <c r="N137" i="7" l="1"/>
  <c r="B137" i="7"/>
  <c r="M137" i="7"/>
  <c r="F137" i="7"/>
  <c r="C138" i="7" a="1"/>
  <c r="C138" i="7" s="1"/>
  <c r="N138" i="7" l="1"/>
  <c r="M138" i="7"/>
  <c r="B138" i="7"/>
  <c r="F138" i="7"/>
  <c r="C139" i="7" a="1"/>
  <c r="C139" i="7" s="1"/>
  <c r="B139" i="7" l="1"/>
  <c r="N139" i="7"/>
  <c r="M139" i="7"/>
  <c r="F139" i="7"/>
  <c r="C140" i="7" a="1"/>
  <c r="C140" i="7" s="1"/>
  <c r="N140" i="7" l="1"/>
  <c r="M140" i="7"/>
  <c r="B140" i="7"/>
  <c r="F140" i="7"/>
  <c r="C141" i="7" a="1"/>
  <c r="C141" i="7" s="1"/>
  <c r="N141" i="7" l="1"/>
  <c r="M141" i="7"/>
  <c r="B141" i="7"/>
  <c r="C142" i="7" a="1"/>
  <c r="C142" i="7" s="1"/>
  <c r="F141" i="7"/>
  <c r="N142" i="7" l="1"/>
  <c r="M142" i="7"/>
  <c r="B142" i="7"/>
  <c r="C143" i="7" a="1"/>
  <c r="C143" i="7" s="1"/>
  <c r="F142" i="7"/>
  <c r="B143" i="7" l="1"/>
  <c r="N143" i="7"/>
  <c r="M143" i="7"/>
  <c r="C144" i="7" a="1"/>
  <c r="C144" i="7" s="1"/>
  <c r="F143" i="7"/>
  <c r="B144" i="7" l="1"/>
  <c r="N144" i="7"/>
  <c r="M144" i="7"/>
  <c r="F144" i="7"/>
  <c r="C145" i="7" a="1"/>
  <c r="C145" i="7" s="1"/>
  <c r="N145" i="7" l="1"/>
  <c r="B145" i="7"/>
  <c r="M145" i="7"/>
  <c r="F145" i="7"/>
  <c r="C146" i="7" a="1"/>
  <c r="C146" i="7" s="1"/>
  <c r="N146" i="7" l="1"/>
  <c r="M146" i="7"/>
  <c r="B146" i="7"/>
  <c r="C147" i="7" a="1"/>
  <c r="C147" i="7" s="1"/>
  <c r="F146" i="7"/>
  <c r="B147" i="7" l="1"/>
  <c r="N147" i="7"/>
  <c r="M147" i="7"/>
  <c r="F147" i="7"/>
  <c r="C148" i="7" a="1"/>
  <c r="C148" i="7" s="1"/>
  <c r="N148" i="7" l="1"/>
  <c r="M148" i="7"/>
  <c r="B148" i="7"/>
  <c r="F148" i="7"/>
  <c r="C149" i="7" a="1"/>
  <c r="C149" i="7" s="1"/>
  <c r="N149" i="7" l="1"/>
  <c r="M149" i="7"/>
  <c r="B149" i="7"/>
  <c r="C150" i="7" a="1"/>
  <c r="C150" i="7" s="1"/>
  <c r="F149" i="7"/>
  <c r="N150" i="7" l="1"/>
  <c r="M150" i="7"/>
  <c r="B150" i="7"/>
  <c r="C151" i="7" a="1"/>
  <c r="C151" i="7" s="1"/>
  <c r="F150" i="7"/>
  <c r="B151" i="7" l="1"/>
  <c r="N151" i="7"/>
  <c r="M151" i="7"/>
  <c r="F151" i="7"/>
  <c r="C152" i="7" a="1"/>
  <c r="C152" i="7" s="1"/>
  <c r="B152" i="7" l="1"/>
  <c r="N152" i="7"/>
  <c r="M152" i="7"/>
  <c r="F152" i="7"/>
  <c r="C153" i="7" a="1"/>
  <c r="C153" i="7" s="1"/>
  <c r="N153" i="7" l="1"/>
  <c r="B153" i="7"/>
  <c r="M153" i="7"/>
  <c r="F153" i="7"/>
  <c r="C154" i="7" a="1"/>
  <c r="C154" i="7" s="1"/>
  <c r="N154" i="7" l="1"/>
  <c r="M154" i="7"/>
  <c r="B154" i="7"/>
  <c r="F154" i="7"/>
  <c r="C155" i="7" a="1"/>
  <c r="C155" i="7" s="1"/>
  <c r="B155" i="7" l="1"/>
  <c r="N155" i="7"/>
  <c r="M155" i="7"/>
  <c r="F155" i="7"/>
  <c r="C156" i="7" a="1"/>
  <c r="C156" i="7" s="1"/>
  <c r="N156" i="7" l="1"/>
  <c r="M156" i="7"/>
  <c r="B156" i="7"/>
  <c r="F156" i="7"/>
  <c r="C157" i="7" a="1"/>
  <c r="C157" i="7" s="1"/>
  <c r="N157" i="7" l="1"/>
  <c r="M157" i="7"/>
  <c r="B157" i="7"/>
  <c r="C158" i="7" a="1"/>
  <c r="C158" i="7" s="1"/>
  <c r="F157" i="7"/>
  <c r="N158" i="7" l="1"/>
  <c r="M158" i="7"/>
  <c r="B158" i="7"/>
  <c r="C159" i="7" a="1"/>
  <c r="C159" i="7" s="1"/>
  <c r="F158" i="7"/>
  <c r="B159" i="7" l="1"/>
  <c r="N159" i="7"/>
  <c r="M159" i="7"/>
  <c r="F159" i="7"/>
  <c r="C160" i="7" a="1"/>
  <c r="C160" i="7" s="1"/>
  <c r="B160" i="7" l="1"/>
  <c r="N160" i="7"/>
  <c r="M160" i="7"/>
  <c r="F160" i="7"/>
  <c r="C161" i="7" a="1"/>
  <c r="C161" i="7" s="1"/>
  <c r="N161" i="7" l="1"/>
  <c r="B161" i="7"/>
  <c r="M161" i="7"/>
  <c r="F161" i="7"/>
  <c r="C162" i="7" a="1"/>
  <c r="C162" i="7" s="1"/>
  <c r="N162" i="7" l="1"/>
  <c r="M162" i="7"/>
  <c r="B162" i="7"/>
  <c r="F162" i="7"/>
  <c r="C163" i="7" a="1"/>
  <c r="C163" i="7" s="1"/>
  <c r="B163" i="7" l="1"/>
  <c r="N163" i="7"/>
  <c r="M163" i="7"/>
  <c r="F163" i="7"/>
  <c r="C164" i="7" a="1"/>
  <c r="C164" i="7" s="1"/>
  <c r="N164" i="7" l="1"/>
  <c r="M164" i="7"/>
  <c r="B164" i="7"/>
  <c r="C165" i="7" a="1"/>
  <c r="C165" i="7" s="1"/>
  <c r="F164" i="7"/>
  <c r="N165" i="7" l="1"/>
  <c r="M165" i="7"/>
  <c r="B165" i="7"/>
  <c r="C166" i="7" a="1"/>
  <c r="C166" i="7" s="1"/>
  <c r="F165" i="7"/>
  <c r="N166" i="7" l="1"/>
  <c r="M166" i="7"/>
  <c r="B166" i="7"/>
  <c r="F166" i="7"/>
  <c r="I1" i="8"/>
  <c r="M13" i="9"/>
  <c r="M15" i="9"/>
  <c r="M1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<sst xmlns="http://schemas.openxmlformats.org/spreadsheetml/2006/main" count="1250" uniqueCount="1126">
  <si>
    <t>268A</t>
    <phoneticPr fontId="1" type="noConversion"/>
  </si>
  <si>
    <t>1D300</t>
    <phoneticPr fontId="1" type="noConversion"/>
  </si>
  <si>
    <t>1D301</t>
    <phoneticPr fontId="1" type="noConversion"/>
  </si>
  <si>
    <t>4DC0</t>
    <phoneticPr fontId="1" type="noConversion"/>
  </si>
  <si>
    <t>畫</t>
    <phoneticPr fontId="1" type="noConversion"/>
  </si>
  <si>
    <t>HEX</t>
    <phoneticPr fontId="1" type="noConversion"/>
  </si>
  <si>
    <t>DEC</t>
    <phoneticPr fontId="1" type="noConversion"/>
  </si>
  <si>
    <t>碼敍</t>
    <phoneticPr fontId="1" type="noConversion"/>
  </si>
  <si>
    <t>碼類敍</t>
    <phoneticPr fontId="1" type="noConversion"/>
  </si>
  <si>
    <t>乾</t>
    <phoneticPr fontId="1" type="noConversion"/>
  </si>
  <si>
    <t>兌</t>
    <phoneticPr fontId="1" type="noConversion"/>
  </si>
  <si>
    <t>離</t>
    <phoneticPr fontId="1" type="noConversion"/>
  </si>
  <si>
    <t>震</t>
    <phoneticPr fontId="1" type="noConversion"/>
  </si>
  <si>
    <t>巽</t>
    <phoneticPr fontId="1" type="noConversion"/>
  </si>
  <si>
    <t>坎</t>
    <phoneticPr fontId="1" type="noConversion"/>
  </si>
  <si>
    <t>艮</t>
    <phoneticPr fontId="1" type="noConversion"/>
  </si>
  <si>
    <t>坤</t>
    <phoneticPr fontId="1" type="noConversion"/>
  </si>
  <si>
    <t>陽</t>
    <phoneticPr fontId="1" type="noConversion"/>
  </si>
  <si>
    <t>陰</t>
    <phoneticPr fontId="1" type="noConversion"/>
  </si>
  <si>
    <t>天</t>
    <phoneticPr fontId="1" type="noConversion"/>
  </si>
  <si>
    <t>地</t>
    <phoneticPr fontId="1" type="noConversion"/>
  </si>
  <si>
    <t>老陽</t>
    <phoneticPr fontId="1" type="noConversion"/>
  </si>
  <si>
    <t>少陰</t>
    <phoneticPr fontId="1" type="noConversion"/>
  </si>
  <si>
    <t>少陽</t>
    <phoneticPr fontId="1" type="noConversion"/>
  </si>
  <si>
    <t>老陰</t>
    <phoneticPr fontId="1" type="noConversion"/>
  </si>
  <si>
    <t>經乾</t>
    <phoneticPr fontId="1" type="noConversion"/>
  </si>
  <si>
    <t>經兌</t>
    <phoneticPr fontId="1" type="noConversion"/>
  </si>
  <si>
    <t>經離</t>
    <phoneticPr fontId="1" type="noConversion"/>
  </si>
  <si>
    <t>經震</t>
    <phoneticPr fontId="1" type="noConversion"/>
  </si>
  <si>
    <t>經巽</t>
    <phoneticPr fontId="1" type="noConversion"/>
  </si>
  <si>
    <t>經坎</t>
    <phoneticPr fontId="1" type="noConversion"/>
  </si>
  <si>
    <t>經艮</t>
    <phoneticPr fontId="1" type="noConversion"/>
  </si>
  <si>
    <t>經坤</t>
    <phoneticPr fontId="1" type="noConversion"/>
  </si>
  <si>
    <t>屯</t>
    <phoneticPr fontId="1" type="noConversion"/>
  </si>
  <si>
    <t>蒙</t>
    <phoneticPr fontId="1" type="noConversion"/>
  </si>
  <si>
    <t>需</t>
    <phoneticPr fontId="1" type="noConversion"/>
  </si>
  <si>
    <t>訟</t>
    <phoneticPr fontId="1" type="noConversion"/>
  </si>
  <si>
    <t>師</t>
    <phoneticPr fontId="1" type="noConversion"/>
  </si>
  <si>
    <t>比</t>
    <phoneticPr fontId="1" type="noConversion"/>
  </si>
  <si>
    <t>小畜</t>
    <phoneticPr fontId="1" type="noConversion"/>
  </si>
  <si>
    <t>履</t>
    <phoneticPr fontId="1" type="noConversion"/>
  </si>
  <si>
    <t>泰</t>
    <phoneticPr fontId="1" type="noConversion"/>
  </si>
  <si>
    <t>否</t>
    <phoneticPr fontId="1" type="noConversion"/>
  </si>
  <si>
    <t>同人</t>
    <phoneticPr fontId="1" type="noConversion"/>
  </si>
  <si>
    <t>大有</t>
    <phoneticPr fontId="1" type="noConversion"/>
  </si>
  <si>
    <t>謙</t>
    <phoneticPr fontId="1" type="noConversion"/>
  </si>
  <si>
    <t>豫</t>
    <phoneticPr fontId="1" type="noConversion"/>
  </si>
  <si>
    <t>隨</t>
    <phoneticPr fontId="1" type="noConversion"/>
  </si>
  <si>
    <t>蠱</t>
    <phoneticPr fontId="1" type="noConversion"/>
  </si>
  <si>
    <t>臨</t>
    <phoneticPr fontId="1" type="noConversion"/>
  </si>
  <si>
    <t>觀</t>
    <phoneticPr fontId="1" type="noConversion"/>
  </si>
  <si>
    <t>噬嗑</t>
    <phoneticPr fontId="1" type="noConversion"/>
  </si>
  <si>
    <t>賁</t>
    <phoneticPr fontId="1" type="noConversion"/>
  </si>
  <si>
    <t>剝</t>
    <phoneticPr fontId="1" type="noConversion"/>
  </si>
  <si>
    <t>復</t>
    <phoneticPr fontId="1" type="noConversion"/>
  </si>
  <si>
    <t>无妄</t>
    <phoneticPr fontId="1" type="noConversion"/>
  </si>
  <si>
    <t>大畜</t>
    <phoneticPr fontId="1" type="noConversion"/>
  </si>
  <si>
    <t>頤</t>
    <phoneticPr fontId="1" type="noConversion"/>
  </si>
  <si>
    <t>大過</t>
    <phoneticPr fontId="1" type="noConversion"/>
  </si>
  <si>
    <t>咸</t>
    <phoneticPr fontId="1" type="noConversion"/>
  </si>
  <si>
    <t>恆</t>
    <phoneticPr fontId="1" type="noConversion"/>
  </si>
  <si>
    <t>遯</t>
    <phoneticPr fontId="1" type="noConversion"/>
  </si>
  <si>
    <t>大壯</t>
    <phoneticPr fontId="1" type="noConversion"/>
  </si>
  <si>
    <t>晉</t>
    <phoneticPr fontId="1" type="noConversion"/>
  </si>
  <si>
    <t>明夷</t>
    <phoneticPr fontId="1" type="noConversion"/>
  </si>
  <si>
    <t>家人</t>
    <phoneticPr fontId="1" type="noConversion"/>
  </si>
  <si>
    <t>睽</t>
    <phoneticPr fontId="1" type="noConversion"/>
  </si>
  <si>
    <t>蹇</t>
    <phoneticPr fontId="1" type="noConversion"/>
  </si>
  <si>
    <t>解</t>
    <phoneticPr fontId="1" type="noConversion"/>
  </si>
  <si>
    <t>損</t>
    <phoneticPr fontId="1" type="noConversion"/>
  </si>
  <si>
    <t>益</t>
    <phoneticPr fontId="1" type="noConversion"/>
  </si>
  <si>
    <t>夬</t>
    <phoneticPr fontId="1" type="noConversion"/>
  </si>
  <si>
    <t>姤</t>
    <phoneticPr fontId="1" type="noConversion"/>
  </si>
  <si>
    <t>萃</t>
    <phoneticPr fontId="1" type="noConversion"/>
  </si>
  <si>
    <t>升</t>
    <phoneticPr fontId="1" type="noConversion"/>
  </si>
  <si>
    <t>困</t>
    <phoneticPr fontId="1" type="noConversion"/>
  </si>
  <si>
    <t>井</t>
    <phoneticPr fontId="1" type="noConversion"/>
  </si>
  <si>
    <t>革</t>
    <phoneticPr fontId="1" type="noConversion"/>
  </si>
  <si>
    <t>鼎</t>
    <phoneticPr fontId="1" type="noConversion"/>
  </si>
  <si>
    <t>漸</t>
    <phoneticPr fontId="1" type="noConversion"/>
  </si>
  <si>
    <t>歸妹</t>
    <phoneticPr fontId="1" type="noConversion"/>
  </si>
  <si>
    <t>豐</t>
    <phoneticPr fontId="1" type="noConversion"/>
  </si>
  <si>
    <t>旅</t>
    <phoneticPr fontId="1" type="noConversion"/>
  </si>
  <si>
    <t>渙</t>
    <phoneticPr fontId="1" type="noConversion"/>
  </si>
  <si>
    <t>節</t>
    <phoneticPr fontId="1" type="noConversion"/>
  </si>
  <si>
    <t>中孚</t>
    <phoneticPr fontId="1" type="noConversion"/>
  </si>
  <si>
    <t>小過</t>
    <phoneticPr fontId="1" type="noConversion"/>
  </si>
  <si>
    <t>旣濟</t>
    <phoneticPr fontId="1" type="noConversion"/>
  </si>
  <si>
    <t>未濟</t>
    <phoneticPr fontId="1" type="noConversion"/>
  </si>
  <si>
    <t>人</t>
    <phoneticPr fontId="1" type="noConversion"/>
  </si>
  <si>
    <t>人天</t>
    <phoneticPr fontId="1" type="noConversion"/>
  </si>
  <si>
    <t>天人</t>
    <phoneticPr fontId="1" type="noConversion"/>
  </si>
  <si>
    <t>地人</t>
    <phoneticPr fontId="1" type="noConversion"/>
  </si>
  <si>
    <t>人地</t>
    <phoneticPr fontId="1" type="noConversion"/>
  </si>
  <si>
    <t>人人</t>
    <phoneticPr fontId="1" type="noConversion"/>
  </si>
  <si>
    <t>中</t>
    <phoneticPr fontId="1" type="noConversion"/>
  </si>
  <si>
    <t>周</t>
    <phoneticPr fontId="1" type="noConversion"/>
  </si>
  <si>
    <t>礥</t>
    <phoneticPr fontId="1" type="noConversion"/>
  </si>
  <si>
    <t>閑</t>
    <phoneticPr fontId="1" type="noConversion"/>
  </si>
  <si>
    <t>少</t>
    <phoneticPr fontId="1" type="noConversion"/>
  </si>
  <si>
    <t>戾</t>
    <phoneticPr fontId="1" type="noConversion"/>
  </si>
  <si>
    <t>上</t>
    <phoneticPr fontId="1" type="noConversion"/>
  </si>
  <si>
    <t>干</t>
    <phoneticPr fontId="1" type="noConversion"/>
  </si>
  <si>
    <t>𤕠</t>
    <phoneticPr fontId="1" type="noConversion"/>
  </si>
  <si>
    <t>羨</t>
    <phoneticPr fontId="1" type="noConversion"/>
  </si>
  <si>
    <t>差</t>
    <phoneticPr fontId="1" type="noConversion"/>
  </si>
  <si>
    <t>童</t>
    <phoneticPr fontId="1" type="noConversion"/>
  </si>
  <si>
    <t>增</t>
    <phoneticPr fontId="1" type="noConversion"/>
  </si>
  <si>
    <t>銳</t>
    <phoneticPr fontId="1" type="noConversion"/>
  </si>
  <si>
    <t>達</t>
    <phoneticPr fontId="1" type="noConversion"/>
  </si>
  <si>
    <t>交</t>
    <phoneticPr fontId="1" type="noConversion"/>
  </si>
  <si>
    <t>䎡</t>
    <phoneticPr fontId="1" type="noConversion"/>
  </si>
  <si>
    <t>傒</t>
    <phoneticPr fontId="1" type="noConversion"/>
  </si>
  <si>
    <t>從</t>
    <phoneticPr fontId="1" type="noConversion"/>
  </si>
  <si>
    <t>進</t>
    <phoneticPr fontId="1" type="noConversion"/>
  </si>
  <si>
    <t>釋</t>
    <phoneticPr fontId="1" type="noConversion"/>
  </si>
  <si>
    <t>格</t>
    <phoneticPr fontId="1" type="noConversion"/>
  </si>
  <si>
    <t>夷</t>
    <phoneticPr fontId="1" type="noConversion"/>
  </si>
  <si>
    <t>樂</t>
    <phoneticPr fontId="1" type="noConversion"/>
  </si>
  <si>
    <t>爭</t>
    <phoneticPr fontId="1" type="noConversion"/>
  </si>
  <si>
    <t>務</t>
    <phoneticPr fontId="1" type="noConversion"/>
  </si>
  <si>
    <t>事</t>
    <phoneticPr fontId="1" type="noConversion"/>
  </si>
  <si>
    <t>更</t>
    <phoneticPr fontId="1" type="noConversion"/>
  </si>
  <si>
    <t>斷</t>
    <phoneticPr fontId="1" type="noConversion"/>
  </si>
  <si>
    <t>毅</t>
    <phoneticPr fontId="1" type="noConversion"/>
  </si>
  <si>
    <t>裝</t>
    <phoneticPr fontId="1" type="noConversion"/>
  </si>
  <si>
    <t>眾</t>
    <phoneticPr fontId="1" type="noConversion"/>
  </si>
  <si>
    <t>密</t>
    <phoneticPr fontId="1" type="noConversion"/>
  </si>
  <si>
    <t>親</t>
    <phoneticPr fontId="1" type="noConversion"/>
  </si>
  <si>
    <t>斂</t>
    <phoneticPr fontId="1" type="noConversion"/>
  </si>
  <si>
    <t>彊</t>
    <phoneticPr fontId="1" type="noConversion"/>
  </si>
  <si>
    <t>睟</t>
    <phoneticPr fontId="1" type="noConversion"/>
  </si>
  <si>
    <t>盛</t>
    <phoneticPr fontId="1" type="noConversion"/>
  </si>
  <si>
    <t>居</t>
    <phoneticPr fontId="1" type="noConversion"/>
  </si>
  <si>
    <t>法</t>
    <phoneticPr fontId="1" type="noConversion"/>
  </si>
  <si>
    <t>迎</t>
    <phoneticPr fontId="1" type="noConversion"/>
  </si>
  <si>
    <t>遇</t>
    <phoneticPr fontId="1" type="noConversion"/>
  </si>
  <si>
    <t>竈</t>
    <phoneticPr fontId="1" type="noConversion"/>
  </si>
  <si>
    <t>大</t>
    <phoneticPr fontId="1" type="noConversion"/>
  </si>
  <si>
    <t>廓</t>
    <phoneticPr fontId="1" type="noConversion"/>
  </si>
  <si>
    <t>文</t>
    <phoneticPr fontId="1" type="noConversion"/>
  </si>
  <si>
    <t>禮</t>
    <phoneticPr fontId="1" type="noConversion"/>
  </si>
  <si>
    <t>逃</t>
    <phoneticPr fontId="1" type="noConversion"/>
  </si>
  <si>
    <t>唐</t>
    <phoneticPr fontId="1" type="noConversion"/>
  </si>
  <si>
    <t>常</t>
    <phoneticPr fontId="1" type="noConversion"/>
  </si>
  <si>
    <t>度</t>
    <phoneticPr fontId="1" type="noConversion"/>
  </si>
  <si>
    <t>永</t>
    <phoneticPr fontId="1" type="noConversion"/>
  </si>
  <si>
    <t>昆</t>
    <phoneticPr fontId="1" type="noConversion"/>
  </si>
  <si>
    <t>減</t>
    <phoneticPr fontId="1" type="noConversion"/>
  </si>
  <si>
    <t>唫</t>
    <phoneticPr fontId="1" type="noConversion"/>
  </si>
  <si>
    <t>守</t>
    <phoneticPr fontId="1" type="noConversion"/>
  </si>
  <si>
    <t>翕</t>
    <phoneticPr fontId="1" type="noConversion"/>
  </si>
  <si>
    <t>聚</t>
    <phoneticPr fontId="1" type="noConversion"/>
  </si>
  <si>
    <t>積</t>
    <phoneticPr fontId="1" type="noConversion"/>
  </si>
  <si>
    <t>飾</t>
    <phoneticPr fontId="1" type="noConversion"/>
  </si>
  <si>
    <t>疑</t>
    <phoneticPr fontId="1" type="noConversion"/>
  </si>
  <si>
    <t>視</t>
    <phoneticPr fontId="1" type="noConversion"/>
  </si>
  <si>
    <t>沈</t>
    <phoneticPr fontId="1" type="noConversion"/>
  </si>
  <si>
    <t>內</t>
    <phoneticPr fontId="1" type="noConversion"/>
  </si>
  <si>
    <t>去</t>
    <phoneticPr fontId="1" type="noConversion"/>
  </si>
  <si>
    <t>晦</t>
    <phoneticPr fontId="1" type="noConversion"/>
  </si>
  <si>
    <t>瞢</t>
    <phoneticPr fontId="1" type="noConversion"/>
  </si>
  <si>
    <t>窮</t>
    <phoneticPr fontId="1" type="noConversion"/>
  </si>
  <si>
    <t>割</t>
    <phoneticPr fontId="1" type="noConversion"/>
  </si>
  <si>
    <t>止</t>
    <phoneticPr fontId="1" type="noConversion"/>
  </si>
  <si>
    <t>堅</t>
    <phoneticPr fontId="1" type="noConversion"/>
  </si>
  <si>
    <t>成</t>
    <phoneticPr fontId="1" type="noConversion"/>
  </si>
  <si>
    <t>䦯</t>
    <phoneticPr fontId="1" type="noConversion"/>
  </si>
  <si>
    <t>失</t>
    <phoneticPr fontId="1" type="noConversion"/>
  </si>
  <si>
    <t>劇</t>
    <phoneticPr fontId="1" type="noConversion"/>
  </si>
  <si>
    <t>馴</t>
    <phoneticPr fontId="1" type="noConversion"/>
  </si>
  <si>
    <t>將</t>
    <phoneticPr fontId="1" type="noConversion"/>
  </si>
  <si>
    <t>難</t>
    <phoneticPr fontId="1" type="noConversion"/>
  </si>
  <si>
    <t>勤</t>
    <phoneticPr fontId="1" type="noConversion"/>
  </si>
  <si>
    <t>養</t>
    <phoneticPr fontId="1" type="noConversion"/>
  </si>
  <si>
    <t>應</t>
  </si>
  <si>
    <t>應</t>
    <phoneticPr fontId="1" type="noConversion"/>
  </si>
  <si>
    <t>2630</t>
  </si>
  <si>
    <t>☰</t>
  </si>
  <si>
    <t>經乾</t>
  </si>
  <si>
    <t>777</t>
  </si>
  <si>
    <t>2631</t>
  </si>
  <si>
    <t>☱</t>
  </si>
  <si>
    <t>經兌</t>
  </si>
  <si>
    <t>877</t>
  </si>
  <si>
    <t>2632</t>
  </si>
  <si>
    <t>☲</t>
  </si>
  <si>
    <t>經離</t>
  </si>
  <si>
    <t>787</t>
  </si>
  <si>
    <t>2633</t>
  </si>
  <si>
    <t>☳</t>
  </si>
  <si>
    <t>經震</t>
  </si>
  <si>
    <t>887</t>
  </si>
  <si>
    <t>2634</t>
  </si>
  <si>
    <t>☴</t>
  </si>
  <si>
    <t>經巽</t>
  </si>
  <si>
    <t>778</t>
  </si>
  <si>
    <t>2635</t>
  </si>
  <si>
    <t>☵</t>
  </si>
  <si>
    <t>經坎</t>
  </si>
  <si>
    <t>878</t>
  </si>
  <si>
    <t>2636</t>
  </si>
  <si>
    <t>☶</t>
  </si>
  <si>
    <t>經艮</t>
  </si>
  <si>
    <t>788</t>
  </si>
  <si>
    <t>2637</t>
  </si>
  <si>
    <t>☷</t>
  </si>
  <si>
    <t>經坤</t>
  </si>
  <si>
    <t>888</t>
  </si>
  <si>
    <t>⚊</t>
  </si>
  <si>
    <t>⚋</t>
  </si>
  <si>
    <t>268C</t>
  </si>
  <si>
    <t>⚌</t>
  </si>
  <si>
    <t>老陽</t>
  </si>
  <si>
    <t>77</t>
  </si>
  <si>
    <t>268D</t>
  </si>
  <si>
    <t>⚍</t>
  </si>
  <si>
    <t>少陰</t>
  </si>
  <si>
    <t>87</t>
  </si>
  <si>
    <t>268E</t>
  </si>
  <si>
    <t>⚎</t>
  </si>
  <si>
    <t>少陽</t>
  </si>
  <si>
    <t>78</t>
  </si>
  <si>
    <t>268F</t>
  </si>
  <si>
    <t>⚏</t>
  </si>
  <si>
    <t>老陰</t>
  </si>
  <si>
    <t>88</t>
  </si>
  <si>
    <t>4DC0</t>
  </si>
  <si>
    <t>䷀</t>
  </si>
  <si>
    <t>乾</t>
  </si>
  <si>
    <t>777777</t>
  </si>
  <si>
    <t>4DC1</t>
  </si>
  <si>
    <t>䷁</t>
  </si>
  <si>
    <t>坤</t>
  </si>
  <si>
    <t>888888</t>
  </si>
  <si>
    <t>4DC2</t>
  </si>
  <si>
    <t>䷂</t>
  </si>
  <si>
    <t>屯</t>
  </si>
  <si>
    <t>878887</t>
  </si>
  <si>
    <t>4DC3</t>
  </si>
  <si>
    <t>䷃</t>
  </si>
  <si>
    <t>蒙</t>
  </si>
  <si>
    <t>788878</t>
  </si>
  <si>
    <t>4DC4</t>
  </si>
  <si>
    <t>䷄</t>
  </si>
  <si>
    <t>需</t>
  </si>
  <si>
    <t>878777</t>
  </si>
  <si>
    <t>4DC5</t>
  </si>
  <si>
    <t>䷅</t>
  </si>
  <si>
    <t>訟</t>
  </si>
  <si>
    <t>777878</t>
  </si>
  <si>
    <t>4DC6</t>
  </si>
  <si>
    <t>䷆</t>
  </si>
  <si>
    <t>師</t>
  </si>
  <si>
    <t>888878</t>
  </si>
  <si>
    <t>4DC7</t>
  </si>
  <si>
    <t>䷇</t>
  </si>
  <si>
    <t>比</t>
  </si>
  <si>
    <t>878888</t>
  </si>
  <si>
    <t>4DC8</t>
  </si>
  <si>
    <t>䷈</t>
  </si>
  <si>
    <t>小畜</t>
  </si>
  <si>
    <t>778777</t>
  </si>
  <si>
    <t>4DC9</t>
  </si>
  <si>
    <t>䷉</t>
  </si>
  <si>
    <t>履</t>
  </si>
  <si>
    <t>777877</t>
  </si>
  <si>
    <t>4DCA</t>
  </si>
  <si>
    <t>䷊</t>
  </si>
  <si>
    <t>泰</t>
  </si>
  <si>
    <t>888777</t>
  </si>
  <si>
    <t>4DCB</t>
  </si>
  <si>
    <t>䷋</t>
  </si>
  <si>
    <t>否</t>
  </si>
  <si>
    <t>777888</t>
  </si>
  <si>
    <t>4DCC</t>
  </si>
  <si>
    <t>䷌</t>
  </si>
  <si>
    <t>同人</t>
  </si>
  <si>
    <t>777787</t>
  </si>
  <si>
    <t>4DCD</t>
  </si>
  <si>
    <t>䷍</t>
  </si>
  <si>
    <t>大有</t>
  </si>
  <si>
    <t>787777</t>
  </si>
  <si>
    <t>4DCE</t>
  </si>
  <si>
    <t>䷎</t>
  </si>
  <si>
    <t>謙</t>
  </si>
  <si>
    <t>888788</t>
  </si>
  <si>
    <t>4DCF</t>
  </si>
  <si>
    <t>䷏</t>
  </si>
  <si>
    <t>豫</t>
  </si>
  <si>
    <t>887888</t>
  </si>
  <si>
    <t>4DD0</t>
  </si>
  <si>
    <t>䷐</t>
  </si>
  <si>
    <t>隨</t>
  </si>
  <si>
    <t>877887</t>
  </si>
  <si>
    <t>4DD1</t>
  </si>
  <si>
    <t>䷑</t>
  </si>
  <si>
    <t>蠱</t>
  </si>
  <si>
    <t>788778</t>
  </si>
  <si>
    <t>4DD2</t>
  </si>
  <si>
    <t>䷒</t>
  </si>
  <si>
    <t>臨</t>
  </si>
  <si>
    <t>888877</t>
  </si>
  <si>
    <t>4DD3</t>
  </si>
  <si>
    <t>䷓</t>
  </si>
  <si>
    <t>觀</t>
  </si>
  <si>
    <t>778888</t>
  </si>
  <si>
    <t>4DD4</t>
  </si>
  <si>
    <t>䷔</t>
  </si>
  <si>
    <t>噬嗑</t>
  </si>
  <si>
    <t>787887</t>
  </si>
  <si>
    <t>4DD5</t>
  </si>
  <si>
    <t>䷕</t>
  </si>
  <si>
    <t>賁</t>
  </si>
  <si>
    <t>788787</t>
  </si>
  <si>
    <t>4DD6</t>
  </si>
  <si>
    <t>䷖</t>
  </si>
  <si>
    <t>剝</t>
  </si>
  <si>
    <t>788888</t>
  </si>
  <si>
    <t>4DD7</t>
  </si>
  <si>
    <t>䷗</t>
  </si>
  <si>
    <t>復</t>
  </si>
  <si>
    <t>888887</t>
  </si>
  <si>
    <t>4DD8</t>
  </si>
  <si>
    <t>䷘</t>
  </si>
  <si>
    <t>无妄</t>
  </si>
  <si>
    <t>777887</t>
  </si>
  <si>
    <t>4DD9</t>
  </si>
  <si>
    <t>䷙</t>
  </si>
  <si>
    <t>大畜</t>
  </si>
  <si>
    <t>788777</t>
  </si>
  <si>
    <t>4DDA</t>
  </si>
  <si>
    <t>䷚</t>
  </si>
  <si>
    <t>頤</t>
  </si>
  <si>
    <t>788887</t>
  </si>
  <si>
    <t>4DDB</t>
  </si>
  <si>
    <t>䷛</t>
  </si>
  <si>
    <t>大過</t>
  </si>
  <si>
    <t>877778</t>
  </si>
  <si>
    <t>4DDC</t>
  </si>
  <si>
    <t>䷜</t>
  </si>
  <si>
    <t>坎</t>
  </si>
  <si>
    <t>878878</t>
  </si>
  <si>
    <t>4DDD</t>
  </si>
  <si>
    <t>䷝</t>
  </si>
  <si>
    <t>離</t>
  </si>
  <si>
    <t>787787</t>
  </si>
  <si>
    <t>4DDE</t>
  </si>
  <si>
    <t>䷞</t>
  </si>
  <si>
    <t>咸</t>
  </si>
  <si>
    <t>877788</t>
  </si>
  <si>
    <t>4DDF</t>
  </si>
  <si>
    <t>䷟</t>
  </si>
  <si>
    <t>恆</t>
  </si>
  <si>
    <t>887778</t>
  </si>
  <si>
    <t>4DE0</t>
  </si>
  <si>
    <t>䷠</t>
  </si>
  <si>
    <t>遯</t>
  </si>
  <si>
    <t>777788</t>
  </si>
  <si>
    <t>4DE1</t>
  </si>
  <si>
    <t>䷡</t>
  </si>
  <si>
    <t>大壯</t>
  </si>
  <si>
    <t>887777</t>
  </si>
  <si>
    <t>4DE2</t>
  </si>
  <si>
    <t>䷢</t>
  </si>
  <si>
    <t>晉</t>
  </si>
  <si>
    <t>787888</t>
  </si>
  <si>
    <t>4DE3</t>
  </si>
  <si>
    <t>䷣</t>
  </si>
  <si>
    <t>明夷</t>
  </si>
  <si>
    <t>888787</t>
  </si>
  <si>
    <t>4DE4</t>
  </si>
  <si>
    <t>䷤</t>
  </si>
  <si>
    <t>家人</t>
  </si>
  <si>
    <t>778787</t>
  </si>
  <si>
    <t>4DE5</t>
  </si>
  <si>
    <t>䷥</t>
  </si>
  <si>
    <t>睽</t>
  </si>
  <si>
    <t>787877</t>
  </si>
  <si>
    <t>4DE6</t>
  </si>
  <si>
    <t>䷦</t>
  </si>
  <si>
    <t>蹇</t>
  </si>
  <si>
    <t>878788</t>
  </si>
  <si>
    <t>4DE7</t>
  </si>
  <si>
    <t>䷧</t>
  </si>
  <si>
    <t>解</t>
  </si>
  <si>
    <t>887878</t>
  </si>
  <si>
    <t>4DE8</t>
  </si>
  <si>
    <t>䷨</t>
  </si>
  <si>
    <t>損</t>
  </si>
  <si>
    <t>788877</t>
  </si>
  <si>
    <t>4DE9</t>
  </si>
  <si>
    <t>䷩</t>
  </si>
  <si>
    <t>益</t>
  </si>
  <si>
    <t>778887</t>
  </si>
  <si>
    <t>4DEA</t>
  </si>
  <si>
    <t>䷪</t>
  </si>
  <si>
    <t>夬</t>
  </si>
  <si>
    <t>877777</t>
  </si>
  <si>
    <t>4DEB</t>
  </si>
  <si>
    <t>䷫</t>
  </si>
  <si>
    <t>姤</t>
  </si>
  <si>
    <t>777778</t>
  </si>
  <si>
    <t>4DEC</t>
  </si>
  <si>
    <t>䷬</t>
  </si>
  <si>
    <t>萃</t>
  </si>
  <si>
    <t>877888</t>
  </si>
  <si>
    <t>4DED</t>
  </si>
  <si>
    <t>䷭</t>
  </si>
  <si>
    <t>升</t>
  </si>
  <si>
    <t>888778</t>
  </si>
  <si>
    <t>4DEE</t>
  </si>
  <si>
    <t>䷮</t>
  </si>
  <si>
    <t>困</t>
  </si>
  <si>
    <t>877878</t>
  </si>
  <si>
    <t>4DEF</t>
  </si>
  <si>
    <t>䷯</t>
  </si>
  <si>
    <t>井</t>
  </si>
  <si>
    <t>878778</t>
  </si>
  <si>
    <t>4DF0</t>
  </si>
  <si>
    <t>䷰</t>
  </si>
  <si>
    <t>革</t>
  </si>
  <si>
    <t>877787</t>
  </si>
  <si>
    <t>4DF1</t>
  </si>
  <si>
    <t>䷱</t>
  </si>
  <si>
    <t>鼎</t>
  </si>
  <si>
    <t>787778</t>
  </si>
  <si>
    <t>4DF2</t>
  </si>
  <si>
    <t>䷲</t>
  </si>
  <si>
    <t>震</t>
  </si>
  <si>
    <t>887887</t>
  </si>
  <si>
    <t>4DF3</t>
  </si>
  <si>
    <t>䷳</t>
  </si>
  <si>
    <t>艮</t>
  </si>
  <si>
    <t>788788</t>
  </si>
  <si>
    <t>4DF4</t>
  </si>
  <si>
    <t>䷴</t>
  </si>
  <si>
    <t>漸</t>
  </si>
  <si>
    <t>778788</t>
  </si>
  <si>
    <t>4DF5</t>
  </si>
  <si>
    <t>䷵</t>
  </si>
  <si>
    <t>歸妹</t>
  </si>
  <si>
    <t>887877</t>
  </si>
  <si>
    <t>4DF6</t>
  </si>
  <si>
    <t>䷶</t>
  </si>
  <si>
    <t>豐</t>
  </si>
  <si>
    <t>887787</t>
  </si>
  <si>
    <t>4DF7</t>
  </si>
  <si>
    <t>䷷</t>
  </si>
  <si>
    <t>旅</t>
  </si>
  <si>
    <t>787788</t>
  </si>
  <si>
    <t>4DF8</t>
  </si>
  <si>
    <t>䷸</t>
  </si>
  <si>
    <t>巽</t>
  </si>
  <si>
    <t>778778</t>
  </si>
  <si>
    <t>4DF9</t>
  </si>
  <si>
    <t>䷹</t>
  </si>
  <si>
    <t>兌</t>
  </si>
  <si>
    <t>877877</t>
  </si>
  <si>
    <t>4DFA</t>
  </si>
  <si>
    <t>䷺</t>
  </si>
  <si>
    <t>渙</t>
  </si>
  <si>
    <t>778878</t>
  </si>
  <si>
    <t>4DFB</t>
  </si>
  <si>
    <t>䷻</t>
  </si>
  <si>
    <t>節</t>
  </si>
  <si>
    <t>878877</t>
  </si>
  <si>
    <t>4DFC</t>
  </si>
  <si>
    <t>䷼</t>
  </si>
  <si>
    <t>中孚</t>
  </si>
  <si>
    <t>778877</t>
  </si>
  <si>
    <t>4DFD</t>
  </si>
  <si>
    <t>䷽</t>
  </si>
  <si>
    <t>小過</t>
  </si>
  <si>
    <t>887788</t>
  </si>
  <si>
    <t>4DFE</t>
  </si>
  <si>
    <t>䷾</t>
  </si>
  <si>
    <t>旣濟</t>
  </si>
  <si>
    <t>878787</t>
  </si>
  <si>
    <t>4DFF</t>
  </si>
  <si>
    <t>䷿</t>
  </si>
  <si>
    <t>未濟</t>
  </si>
  <si>
    <t>787878</t>
  </si>
  <si>
    <t>1D306</t>
  </si>
  <si>
    <t>𝌆</t>
  </si>
  <si>
    <t>中</t>
  </si>
  <si>
    <t>1111</t>
  </si>
  <si>
    <t>7777</t>
  </si>
  <si>
    <t>1D307</t>
  </si>
  <si>
    <t>𝌇</t>
  </si>
  <si>
    <t>周</t>
  </si>
  <si>
    <t>1112</t>
  </si>
  <si>
    <t>7778</t>
  </si>
  <si>
    <t>1D308</t>
  </si>
  <si>
    <t>𝌈</t>
  </si>
  <si>
    <t>礥</t>
  </si>
  <si>
    <t>1113</t>
  </si>
  <si>
    <t>7779</t>
  </si>
  <si>
    <t>1D309</t>
  </si>
  <si>
    <t>𝌉</t>
  </si>
  <si>
    <t>閑</t>
  </si>
  <si>
    <t>1121</t>
  </si>
  <si>
    <t>7787</t>
  </si>
  <si>
    <t>1D30A</t>
  </si>
  <si>
    <t>𝌊</t>
  </si>
  <si>
    <t>少</t>
  </si>
  <si>
    <t>1122</t>
  </si>
  <si>
    <t>7788</t>
  </si>
  <si>
    <t>1D30B</t>
  </si>
  <si>
    <t>𝌋</t>
  </si>
  <si>
    <t>戾</t>
  </si>
  <si>
    <t>1123</t>
  </si>
  <si>
    <t>7789</t>
  </si>
  <si>
    <t>1D30C</t>
  </si>
  <si>
    <t>𝌌</t>
  </si>
  <si>
    <t>上</t>
  </si>
  <si>
    <t>1131</t>
  </si>
  <si>
    <t>7797</t>
  </si>
  <si>
    <t>1D30D</t>
  </si>
  <si>
    <t>𝌍</t>
  </si>
  <si>
    <t>干</t>
  </si>
  <si>
    <t>1132</t>
  </si>
  <si>
    <t>7798</t>
  </si>
  <si>
    <t>1D30E</t>
  </si>
  <si>
    <t>𝌎</t>
  </si>
  <si>
    <t>𤕠</t>
  </si>
  <si>
    <t>1133</t>
  </si>
  <si>
    <t>7799</t>
  </si>
  <si>
    <t>1D30F</t>
  </si>
  <si>
    <t>𝌏</t>
  </si>
  <si>
    <t>羨</t>
  </si>
  <si>
    <t>1211</t>
  </si>
  <si>
    <t>7877</t>
  </si>
  <si>
    <t>1D310</t>
  </si>
  <si>
    <t>𝌐</t>
  </si>
  <si>
    <t>差</t>
  </si>
  <si>
    <t>1212</t>
  </si>
  <si>
    <t>7878</t>
  </si>
  <si>
    <t>1D311</t>
  </si>
  <si>
    <t>𝌑</t>
  </si>
  <si>
    <t>童</t>
  </si>
  <si>
    <t>1213</t>
  </si>
  <si>
    <t>7879</t>
  </si>
  <si>
    <t>1D312</t>
  </si>
  <si>
    <t>𝌒</t>
  </si>
  <si>
    <t>增</t>
  </si>
  <si>
    <t>1221</t>
  </si>
  <si>
    <t>7887</t>
  </si>
  <si>
    <t>1D313</t>
  </si>
  <si>
    <t>𝌓</t>
  </si>
  <si>
    <t>銳</t>
  </si>
  <si>
    <t>1222</t>
  </si>
  <si>
    <t>7888</t>
  </si>
  <si>
    <t>1D314</t>
  </si>
  <si>
    <t>𝌔</t>
  </si>
  <si>
    <t>達</t>
  </si>
  <si>
    <t>1223</t>
  </si>
  <si>
    <t>7889</t>
  </si>
  <si>
    <t>1D315</t>
  </si>
  <si>
    <t>𝌕</t>
  </si>
  <si>
    <t>交</t>
  </si>
  <si>
    <t>1231</t>
  </si>
  <si>
    <t>7897</t>
  </si>
  <si>
    <t>1D316</t>
  </si>
  <si>
    <t>𝌖</t>
  </si>
  <si>
    <t>䎡</t>
  </si>
  <si>
    <t>1232</t>
  </si>
  <si>
    <t>7898</t>
  </si>
  <si>
    <t>1D317</t>
  </si>
  <si>
    <t>𝌗</t>
  </si>
  <si>
    <t>傒</t>
  </si>
  <si>
    <t>1233</t>
  </si>
  <si>
    <t>7899</t>
  </si>
  <si>
    <t>1D318</t>
  </si>
  <si>
    <t>𝌘</t>
  </si>
  <si>
    <t>從</t>
  </si>
  <si>
    <t>1311</t>
  </si>
  <si>
    <t>7977</t>
  </si>
  <si>
    <t>1D319</t>
  </si>
  <si>
    <t>𝌙</t>
  </si>
  <si>
    <t>進</t>
  </si>
  <si>
    <t>1312</t>
  </si>
  <si>
    <t>7978</t>
  </si>
  <si>
    <t>1D31A</t>
  </si>
  <si>
    <t>𝌚</t>
  </si>
  <si>
    <t>釋</t>
  </si>
  <si>
    <t>1313</t>
  </si>
  <si>
    <t>7979</t>
  </si>
  <si>
    <t>1D31B</t>
  </si>
  <si>
    <t>𝌛</t>
  </si>
  <si>
    <t>格</t>
  </si>
  <si>
    <t>1321</t>
  </si>
  <si>
    <t>7987</t>
  </si>
  <si>
    <t>1D31C</t>
  </si>
  <si>
    <t>𝌜</t>
  </si>
  <si>
    <t>夷</t>
  </si>
  <si>
    <t>1322</t>
  </si>
  <si>
    <t>7988</t>
  </si>
  <si>
    <t>1D31D</t>
  </si>
  <si>
    <t>𝌝</t>
  </si>
  <si>
    <t>樂</t>
  </si>
  <si>
    <t>1323</t>
  </si>
  <si>
    <t>7989</t>
  </si>
  <si>
    <t>1D31E</t>
  </si>
  <si>
    <t>𝌞</t>
  </si>
  <si>
    <t>爭</t>
  </si>
  <si>
    <t>1331</t>
  </si>
  <si>
    <t>7997</t>
  </si>
  <si>
    <t>1D31F</t>
  </si>
  <si>
    <t>𝌟</t>
  </si>
  <si>
    <t>務</t>
  </si>
  <si>
    <t>1332</t>
  </si>
  <si>
    <t>7998</t>
  </si>
  <si>
    <t>1D320</t>
  </si>
  <si>
    <t>𝌠</t>
  </si>
  <si>
    <t>事</t>
  </si>
  <si>
    <t>1333</t>
  </si>
  <si>
    <t>7999</t>
  </si>
  <si>
    <t>1D321</t>
  </si>
  <si>
    <t>𝌡</t>
  </si>
  <si>
    <t>更</t>
  </si>
  <si>
    <t>2111</t>
  </si>
  <si>
    <t>8777</t>
  </si>
  <si>
    <t>1D322</t>
  </si>
  <si>
    <t>𝌢</t>
  </si>
  <si>
    <t>斷</t>
  </si>
  <si>
    <t>2112</t>
  </si>
  <si>
    <t>8778</t>
  </si>
  <si>
    <t>1D323</t>
  </si>
  <si>
    <t>𝌣</t>
  </si>
  <si>
    <t>毅</t>
  </si>
  <si>
    <t>2113</t>
  </si>
  <si>
    <t>8779</t>
  </si>
  <si>
    <t>1D324</t>
  </si>
  <si>
    <t>𝌤</t>
  </si>
  <si>
    <t>裝</t>
  </si>
  <si>
    <t>2121</t>
  </si>
  <si>
    <t>8787</t>
  </si>
  <si>
    <t>1D325</t>
  </si>
  <si>
    <t>𝌥</t>
  </si>
  <si>
    <t>眾</t>
  </si>
  <si>
    <t>2122</t>
  </si>
  <si>
    <t>8788</t>
  </si>
  <si>
    <t>1D326</t>
  </si>
  <si>
    <t>𝌦</t>
  </si>
  <si>
    <t>密</t>
  </si>
  <si>
    <t>2123</t>
  </si>
  <si>
    <t>8789</t>
  </si>
  <si>
    <t>1D327</t>
  </si>
  <si>
    <t>𝌧</t>
  </si>
  <si>
    <t>親</t>
  </si>
  <si>
    <t>2131</t>
  </si>
  <si>
    <t>8797</t>
  </si>
  <si>
    <t>1D328</t>
  </si>
  <si>
    <t>𝌨</t>
  </si>
  <si>
    <t>斂</t>
  </si>
  <si>
    <t>2132</t>
  </si>
  <si>
    <t>8798</t>
  </si>
  <si>
    <t>1D329</t>
  </si>
  <si>
    <t>𝌩</t>
  </si>
  <si>
    <t>彊</t>
  </si>
  <si>
    <t>2133</t>
  </si>
  <si>
    <t>8799</t>
  </si>
  <si>
    <t>1D32A</t>
  </si>
  <si>
    <t>𝌪</t>
  </si>
  <si>
    <t>睟</t>
  </si>
  <si>
    <t>2211</t>
  </si>
  <si>
    <t>8877</t>
  </si>
  <si>
    <t>1D32B</t>
  </si>
  <si>
    <t>𝌫</t>
  </si>
  <si>
    <t>盛</t>
  </si>
  <si>
    <t>2212</t>
  </si>
  <si>
    <t>8878</t>
  </si>
  <si>
    <t>1D32C</t>
  </si>
  <si>
    <t>𝌬</t>
  </si>
  <si>
    <t>居</t>
  </si>
  <si>
    <t>2213</t>
  </si>
  <si>
    <t>8879</t>
  </si>
  <si>
    <t>1D32D</t>
  </si>
  <si>
    <t>𝌭</t>
  </si>
  <si>
    <t>法</t>
  </si>
  <si>
    <t>2221</t>
  </si>
  <si>
    <t>8887</t>
  </si>
  <si>
    <t>1D32E</t>
  </si>
  <si>
    <t>𝌮</t>
  </si>
  <si>
    <t>2222</t>
  </si>
  <si>
    <t>8888</t>
  </si>
  <si>
    <t>1D32F</t>
  </si>
  <si>
    <t>𝌯</t>
  </si>
  <si>
    <t>迎</t>
  </si>
  <si>
    <t>2223</t>
  </si>
  <si>
    <t>8889</t>
  </si>
  <si>
    <t>1D330</t>
  </si>
  <si>
    <t>𝌰</t>
  </si>
  <si>
    <t>遇</t>
  </si>
  <si>
    <t>2231</t>
  </si>
  <si>
    <t>8897</t>
  </si>
  <si>
    <t>1D331</t>
  </si>
  <si>
    <t>𝌱</t>
  </si>
  <si>
    <t>竈</t>
  </si>
  <si>
    <t>2232</t>
  </si>
  <si>
    <t>8898</t>
  </si>
  <si>
    <t>1D332</t>
  </si>
  <si>
    <t>𝌲</t>
  </si>
  <si>
    <t>大</t>
  </si>
  <si>
    <t>2233</t>
  </si>
  <si>
    <t>8899</t>
  </si>
  <si>
    <t>1D333</t>
  </si>
  <si>
    <t>𝌳</t>
  </si>
  <si>
    <t>廓</t>
  </si>
  <si>
    <t>2311</t>
  </si>
  <si>
    <t>8977</t>
  </si>
  <si>
    <t>1D334</t>
  </si>
  <si>
    <t>𝌴</t>
  </si>
  <si>
    <t>文</t>
  </si>
  <si>
    <t>2312</t>
  </si>
  <si>
    <t>8978</t>
  </si>
  <si>
    <t>1D335</t>
  </si>
  <si>
    <t>𝌵</t>
  </si>
  <si>
    <t>禮</t>
  </si>
  <si>
    <t>2313</t>
  </si>
  <si>
    <t>8979</t>
  </si>
  <si>
    <t>1D336</t>
  </si>
  <si>
    <t>𝌶</t>
  </si>
  <si>
    <t>逃</t>
  </si>
  <si>
    <t>2321</t>
  </si>
  <si>
    <t>8987</t>
  </si>
  <si>
    <t>1D337</t>
  </si>
  <si>
    <t>𝌷</t>
  </si>
  <si>
    <t>唐</t>
  </si>
  <si>
    <t>2322</t>
  </si>
  <si>
    <t>8988</t>
  </si>
  <si>
    <t>1D338</t>
  </si>
  <si>
    <t>𝌸</t>
  </si>
  <si>
    <t>常</t>
  </si>
  <si>
    <t>2323</t>
  </si>
  <si>
    <t>8989</t>
  </si>
  <si>
    <t>1D339</t>
  </si>
  <si>
    <t>𝌹</t>
  </si>
  <si>
    <t>度</t>
  </si>
  <si>
    <t>2331</t>
  </si>
  <si>
    <t>8997</t>
  </si>
  <si>
    <t>1D33A</t>
  </si>
  <si>
    <t>𝌺</t>
  </si>
  <si>
    <t>永</t>
  </si>
  <si>
    <t>2332</t>
  </si>
  <si>
    <t>8998</t>
  </si>
  <si>
    <t>1D33B</t>
  </si>
  <si>
    <t>𝌻</t>
  </si>
  <si>
    <t>昆</t>
  </si>
  <si>
    <t>2333</t>
  </si>
  <si>
    <t>8999</t>
  </si>
  <si>
    <t>1D33C</t>
  </si>
  <si>
    <t>𝌼</t>
  </si>
  <si>
    <t>減</t>
  </si>
  <si>
    <t>3111</t>
  </si>
  <si>
    <t>9777</t>
  </si>
  <si>
    <t>1D33D</t>
  </si>
  <si>
    <t>𝌽</t>
  </si>
  <si>
    <t>唫</t>
  </si>
  <si>
    <t>3112</t>
  </si>
  <si>
    <t>9778</t>
  </si>
  <si>
    <t>1D33E</t>
  </si>
  <si>
    <t>𝌾</t>
  </si>
  <si>
    <t>守</t>
  </si>
  <si>
    <t>3113</t>
  </si>
  <si>
    <t>9779</t>
  </si>
  <si>
    <t>1D33F</t>
  </si>
  <si>
    <t>𝌿</t>
  </si>
  <si>
    <t>翕</t>
  </si>
  <si>
    <t>3121</t>
  </si>
  <si>
    <t>9787</t>
  </si>
  <si>
    <t>1D340</t>
  </si>
  <si>
    <t>𝍀</t>
  </si>
  <si>
    <t>聚</t>
  </si>
  <si>
    <t>3122</t>
  </si>
  <si>
    <t>9788</t>
  </si>
  <si>
    <t>1D341</t>
  </si>
  <si>
    <t>𝍁</t>
  </si>
  <si>
    <t>積</t>
  </si>
  <si>
    <t>3123</t>
  </si>
  <si>
    <t>9789</t>
  </si>
  <si>
    <t>1D342</t>
  </si>
  <si>
    <t>𝍂</t>
  </si>
  <si>
    <t>飾</t>
  </si>
  <si>
    <t>3131</t>
  </si>
  <si>
    <t>9797</t>
  </si>
  <si>
    <t>1D343</t>
  </si>
  <si>
    <t>𝍃</t>
  </si>
  <si>
    <t>疑</t>
  </si>
  <si>
    <t>3132</t>
  </si>
  <si>
    <t>9798</t>
  </si>
  <si>
    <t>1D344</t>
  </si>
  <si>
    <t>𝍄</t>
  </si>
  <si>
    <t>視</t>
  </si>
  <si>
    <t>3133</t>
  </si>
  <si>
    <t>9799</t>
  </si>
  <si>
    <t>1D345</t>
  </si>
  <si>
    <t>𝍅</t>
  </si>
  <si>
    <t>沈</t>
  </si>
  <si>
    <t>3211</t>
  </si>
  <si>
    <t>9877</t>
  </si>
  <si>
    <t>1D346</t>
  </si>
  <si>
    <t>𝍆</t>
  </si>
  <si>
    <t>內</t>
  </si>
  <si>
    <t>3212</t>
  </si>
  <si>
    <t>9878</t>
  </si>
  <si>
    <t>1D347</t>
  </si>
  <si>
    <t>𝍇</t>
  </si>
  <si>
    <t>去</t>
  </si>
  <si>
    <t>3213</t>
  </si>
  <si>
    <t>9879</t>
  </si>
  <si>
    <t>1D348</t>
  </si>
  <si>
    <t>𝍈</t>
  </si>
  <si>
    <t>晦</t>
  </si>
  <si>
    <t>3221</t>
  </si>
  <si>
    <t>9887</t>
  </si>
  <si>
    <t>1D349</t>
  </si>
  <si>
    <t>𝍉</t>
  </si>
  <si>
    <t>瞢</t>
  </si>
  <si>
    <t>3222</t>
  </si>
  <si>
    <t>9888</t>
  </si>
  <si>
    <t>1D34A</t>
  </si>
  <si>
    <t>𝍊</t>
  </si>
  <si>
    <t>窮</t>
  </si>
  <si>
    <t>3223</t>
  </si>
  <si>
    <t>9889</t>
  </si>
  <si>
    <t>1D34B</t>
  </si>
  <si>
    <t>𝍋</t>
  </si>
  <si>
    <t>割</t>
  </si>
  <si>
    <t>3231</t>
  </si>
  <si>
    <t>9897</t>
  </si>
  <si>
    <t>1D34C</t>
  </si>
  <si>
    <t>𝍌</t>
  </si>
  <si>
    <t>止</t>
  </si>
  <si>
    <t>3232</t>
  </si>
  <si>
    <t>9898</t>
  </si>
  <si>
    <t>1D34D</t>
  </si>
  <si>
    <t>𝍍</t>
  </si>
  <si>
    <t>堅</t>
  </si>
  <si>
    <t>3233</t>
  </si>
  <si>
    <t>9899</t>
  </si>
  <si>
    <t>1D34E</t>
  </si>
  <si>
    <t>𝍎</t>
  </si>
  <si>
    <t>成</t>
  </si>
  <si>
    <t>3311</t>
  </si>
  <si>
    <t>9977</t>
  </si>
  <si>
    <t>1D34F</t>
  </si>
  <si>
    <t>𝍏</t>
  </si>
  <si>
    <t>䦯</t>
  </si>
  <si>
    <t>3312</t>
  </si>
  <si>
    <t>9978</t>
  </si>
  <si>
    <t>1D350</t>
  </si>
  <si>
    <t>𝍐</t>
  </si>
  <si>
    <t>失</t>
  </si>
  <si>
    <t>3313</t>
  </si>
  <si>
    <t>9979</t>
  </si>
  <si>
    <t>1D351</t>
  </si>
  <si>
    <t>𝍑</t>
  </si>
  <si>
    <t>劇</t>
  </si>
  <si>
    <t>3321</t>
  </si>
  <si>
    <t>9987</t>
  </si>
  <si>
    <t>1D352</t>
  </si>
  <si>
    <t>𝍒</t>
  </si>
  <si>
    <t>馴</t>
  </si>
  <si>
    <t>3322</t>
  </si>
  <si>
    <t>9988</t>
  </si>
  <si>
    <t>1D353</t>
  </si>
  <si>
    <t>𝍓</t>
  </si>
  <si>
    <t>將</t>
  </si>
  <si>
    <t>3323</t>
  </si>
  <si>
    <t>9989</t>
  </si>
  <si>
    <t>1D354</t>
  </si>
  <si>
    <t>𝍔</t>
  </si>
  <si>
    <t>難</t>
  </si>
  <si>
    <t>3331</t>
  </si>
  <si>
    <t>9997</t>
  </si>
  <si>
    <t>1D355</t>
  </si>
  <si>
    <t>𝍕</t>
  </si>
  <si>
    <t>勤</t>
  </si>
  <si>
    <t>3332</t>
  </si>
  <si>
    <t>9998</t>
  </si>
  <si>
    <t>1D356</t>
  </si>
  <si>
    <t>𝍖</t>
  </si>
  <si>
    <t>養</t>
  </si>
  <si>
    <t>3333</t>
  </si>
  <si>
    <t>9999</t>
  </si>
  <si>
    <t>⚊⚊⚊⚊⚊⚊</t>
  </si>
  <si>
    <t>⚋⚋⚋⚋⚋⚋</t>
  </si>
  <si>
    <t>⚋⚊⚋⚋⚋⚊</t>
  </si>
  <si>
    <t>⚊⚋⚋⚋⚊⚋</t>
  </si>
  <si>
    <t>⚋⚊⚋⚊⚊⚊</t>
  </si>
  <si>
    <t>⚊⚊⚊⚋⚊⚋</t>
  </si>
  <si>
    <t>⚋⚋⚋⚋⚊⚋</t>
  </si>
  <si>
    <t>⚋⚊⚋⚋⚋⚋</t>
  </si>
  <si>
    <t>⚊⚊⚋⚊⚊⚊</t>
  </si>
  <si>
    <t>⚊⚊⚊⚋⚊⚊</t>
  </si>
  <si>
    <t>⚋⚋⚋⚊⚊⚊</t>
  </si>
  <si>
    <t>⚊⚊⚊⚋⚋⚋</t>
  </si>
  <si>
    <t>⚊⚊⚊⚊⚋⚊</t>
  </si>
  <si>
    <t>⚊⚋⚊⚊⚊⚊</t>
  </si>
  <si>
    <t>⚋⚋⚋⚊⚋⚋</t>
  </si>
  <si>
    <t>⚋⚋⚊⚋⚋⚋</t>
  </si>
  <si>
    <t>⚋⚊⚊⚋⚋⚊</t>
  </si>
  <si>
    <t>⚊⚋⚋⚊⚊⚋</t>
  </si>
  <si>
    <t>⚋⚋⚋⚋⚊⚊</t>
  </si>
  <si>
    <t>⚊⚊⚋⚋⚋⚋</t>
  </si>
  <si>
    <t>⚊⚋⚊⚋⚋⚊</t>
  </si>
  <si>
    <t>⚊⚋⚋⚊⚋⚊</t>
  </si>
  <si>
    <t>⚊⚋⚋⚋⚋⚋</t>
  </si>
  <si>
    <t>⚋⚋⚋⚋⚋⚊</t>
  </si>
  <si>
    <t>⚊⚊⚊⚋⚋⚊</t>
  </si>
  <si>
    <t>⚊⚋⚋⚊⚊⚊</t>
  </si>
  <si>
    <t>⚊⚋⚋⚋⚋⚊</t>
  </si>
  <si>
    <t>⚋⚊⚊⚊⚊⚋</t>
  </si>
  <si>
    <t>⚋⚊⚋⚋⚊⚋</t>
  </si>
  <si>
    <t>⚊⚋⚊⚊⚋⚊</t>
  </si>
  <si>
    <t>⚋⚊⚊⚊⚋⚋</t>
  </si>
  <si>
    <t>⚋⚋⚊⚊⚊⚋</t>
  </si>
  <si>
    <t>⚊⚊⚊⚊⚋⚋</t>
  </si>
  <si>
    <t>⚋⚋⚊⚊⚊⚊</t>
  </si>
  <si>
    <t>⚊⚋⚊⚋⚋⚋</t>
  </si>
  <si>
    <t>⚋⚋⚋⚊⚋⚊</t>
  </si>
  <si>
    <t>⚊⚊⚋⚊⚋⚊</t>
  </si>
  <si>
    <t>⚊⚋⚊⚋⚊⚊</t>
  </si>
  <si>
    <t>⚋⚊⚋⚊⚋⚋</t>
  </si>
  <si>
    <t>⚋⚋⚊⚋⚊⚋</t>
  </si>
  <si>
    <t>⚊⚋⚋⚋⚊⚊</t>
  </si>
  <si>
    <t>⚊⚊⚋⚋⚋⚊</t>
  </si>
  <si>
    <t>⚋⚊⚊⚊⚊⚊</t>
  </si>
  <si>
    <t>⚊⚊⚊⚊⚊⚋</t>
  </si>
  <si>
    <t>⚋⚊⚊⚋⚋⚋</t>
  </si>
  <si>
    <t>⚋⚋⚋⚊⚊⚋</t>
  </si>
  <si>
    <t>⚋⚊⚊⚋⚊⚋</t>
  </si>
  <si>
    <t>⚋⚊⚋⚊⚊⚋</t>
  </si>
  <si>
    <t>⚋⚊⚊⚊⚋⚊</t>
  </si>
  <si>
    <t>⚊⚋⚊⚊⚊⚋</t>
  </si>
  <si>
    <t>⚋⚋⚊⚋⚋⚊</t>
  </si>
  <si>
    <t>⚊⚋⚋⚊⚋⚋</t>
  </si>
  <si>
    <t>⚊⚊⚋⚊⚋⚋</t>
  </si>
  <si>
    <t>⚋⚋⚊⚋⚊⚊</t>
  </si>
  <si>
    <t>⚋⚋⚊⚊⚋⚊</t>
  </si>
  <si>
    <t>⚊⚋⚊⚊⚋⚋</t>
  </si>
  <si>
    <t>⚊⚊⚋⚊⚊⚋</t>
  </si>
  <si>
    <t>⚋⚊⚊⚋⚊⚊</t>
  </si>
  <si>
    <t>⚊⚊⚋⚋⚊⚋</t>
  </si>
  <si>
    <t>⚋⚊⚋⚋⚊⚊</t>
  </si>
  <si>
    <t>⚊⚊⚋⚋⚊⚊</t>
  </si>
  <si>
    <t>⚋⚋⚊⚊⚋⚋</t>
  </si>
  <si>
    <t>⚋⚊⚋⚊⚋⚊</t>
  </si>
  <si>
    <t>⚊⚋⚊⚋⚊⚋</t>
  </si>
  <si>
    <t>⚊⚊⚊⚊</t>
  </si>
  <si>
    <t>⚊⚊⚊⚋</t>
  </si>
  <si>
    <t>⚊⚊⚊𝌀</t>
  </si>
  <si>
    <t>⚊⚊⚋⚊</t>
  </si>
  <si>
    <t>⚊⚊⚋⚋</t>
  </si>
  <si>
    <t>⚊⚊⚋𝌀</t>
  </si>
  <si>
    <t>⚊⚊𝌀⚊</t>
  </si>
  <si>
    <t>⚊⚊𝌀⚋</t>
  </si>
  <si>
    <t>⚊⚊𝌀𝌀</t>
  </si>
  <si>
    <t>⚊⚋⚊⚊</t>
  </si>
  <si>
    <t>⚊⚋⚊⚋</t>
  </si>
  <si>
    <t>⚊⚋⚊𝌀</t>
  </si>
  <si>
    <t>⚊⚋⚋⚊</t>
  </si>
  <si>
    <t>⚊⚋⚋⚋</t>
  </si>
  <si>
    <t>⚊⚋⚋𝌀</t>
  </si>
  <si>
    <t>⚊⚋𝌀⚊</t>
  </si>
  <si>
    <t>⚊⚋𝌀⚋</t>
  </si>
  <si>
    <t>⚊⚋𝌀𝌀</t>
  </si>
  <si>
    <t>⚊𝌀⚊⚊</t>
  </si>
  <si>
    <t>⚊𝌀⚊⚋</t>
  </si>
  <si>
    <t>⚊𝌀⚊𝌀</t>
  </si>
  <si>
    <t>⚊𝌀⚋⚊</t>
  </si>
  <si>
    <t>⚊𝌀⚋⚋</t>
  </si>
  <si>
    <t>⚊𝌀⚋𝌀</t>
  </si>
  <si>
    <t>⚊𝌀𝌀⚊</t>
  </si>
  <si>
    <t>⚊𝌀𝌀⚋</t>
  </si>
  <si>
    <t>⚊𝌀𝌀𝌀</t>
  </si>
  <si>
    <t>⚋⚊⚊⚊</t>
  </si>
  <si>
    <t>⚋⚊⚊⚋</t>
  </si>
  <si>
    <t>⚋⚊⚊𝌀</t>
  </si>
  <si>
    <t>⚋⚊⚋⚊</t>
  </si>
  <si>
    <t>⚋⚊⚋⚋</t>
  </si>
  <si>
    <t>⚋⚊⚋𝌀</t>
  </si>
  <si>
    <t>⚋⚊𝌀⚊</t>
  </si>
  <si>
    <t>⚋⚊𝌀⚋</t>
  </si>
  <si>
    <t>⚋⚊𝌀𝌀</t>
  </si>
  <si>
    <t>⚋⚋⚊⚊</t>
  </si>
  <si>
    <t>⚋⚋⚊⚋</t>
  </si>
  <si>
    <t>⚋⚋⚊𝌀</t>
  </si>
  <si>
    <t>⚋⚋⚋⚊</t>
  </si>
  <si>
    <t>⚋⚋⚋⚋</t>
  </si>
  <si>
    <t>⚋⚋⚋𝌀</t>
  </si>
  <si>
    <t>⚋⚋𝌀⚊</t>
  </si>
  <si>
    <t>⚋⚋𝌀⚋</t>
  </si>
  <si>
    <t>⚋⚋𝌀𝌀</t>
  </si>
  <si>
    <t>⚋𝌀⚊⚊</t>
  </si>
  <si>
    <t>⚋𝌀⚊⚋</t>
  </si>
  <si>
    <t>⚋𝌀⚊𝌀</t>
  </si>
  <si>
    <t>⚋𝌀⚋⚊</t>
  </si>
  <si>
    <t>⚋𝌀⚋⚋</t>
  </si>
  <si>
    <t>⚋𝌀⚋𝌀</t>
  </si>
  <si>
    <t>⚋𝌀𝌀⚊</t>
  </si>
  <si>
    <t>⚋𝌀𝌀⚋</t>
  </si>
  <si>
    <t>⚋𝌀𝌀𝌀</t>
  </si>
  <si>
    <t>𝌀⚊⚊⚊</t>
  </si>
  <si>
    <t>𝌀⚊⚊⚋</t>
  </si>
  <si>
    <t>𝌀⚊⚊𝌀</t>
  </si>
  <si>
    <t>𝌀⚊⚋⚊</t>
  </si>
  <si>
    <t>𝌀⚊⚋⚋</t>
  </si>
  <si>
    <t>𝌀⚊⚋𝌀</t>
  </si>
  <si>
    <t>𝌀⚊𝌀⚊</t>
  </si>
  <si>
    <t>𝌀⚊𝌀⚋</t>
  </si>
  <si>
    <t>𝌀⚊𝌀𝌀</t>
  </si>
  <si>
    <t>𝌀⚋⚊⚊</t>
  </si>
  <si>
    <t>𝌀⚋⚊⚋</t>
  </si>
  <si>
    <t>𝌀⚋⚊𝌀</t>
  </si>
  <si>
    <t>𝌀⚋⚋⚊</t>
  </si>
  <si>
    <t>𝌀⚋⚋⚋</t>
  </si>
  <si>
    <t>𝌀⚋⚋𝌀</t>
  </si>
  <si>
    <t>𝌀⚋𝌀⚊</t>
  </si>
  <si>
    <t>𝌀⚋𝌀⚋</t>
  </si>
  <si>
    <t>𝌀⚋𝌀𝌀</t>
  </si>
  <si>
    <t>𝌀𝌀⚊⚊</t>
  </si>
  <si>
    <t>𝌀𝌀⚊⚋</t>
  </si>
  <si>
    <t>𝌀𝌀⚊𝌀</t>
  </si>
  <si>
    <t>𝌀𝌀⚋⚊</t>
  </si>
  <si>
    <t>𝌀𝌀⚋⚋</t>
  </si>
  <si>
    <t>𝌀𝌀⚋𝌀</t>
  </si>
  <si>
    <t>𝌀𝌀𝌀⚊</t>
  </si>
  <si>
    <t>𝌀𝌀𝌀⚋</t>
  </si>
  <si>
    <t>𝌀𝌀𝌀𝌀</t>
  </si>
  <si>
    <t>⚊⚊⚊</t>
  </si>
  <si>
    <t>⚋⚊⚊</t>
  </si>
  <si>
    <t>⚊⚋⚊</t>
  </si>
  <si>
    <t>⚋⚋⚊</t>
  </si>
  <si>
    <t>⚊⚊⚋</t>
  </si>
  <si>
    <t>⚋⚊⚋</t>
  </si>
  <si>
    <t>⚊⚋⚋</t>
  </si>
  <si>
    <t>⚋⚋⚋</t>
  </si>
  <si>
    <t>⚊⚊</t>
  </si>
  <si>
    <t>⚋⚊</t>
  </si>
  <si>
    <t>⚊⚋</t>
  </si>
  <si>
    <t>⚋⚋</t>
  </si>
  <si>
    <t>𝌀</t>
  </si>
  <si>
    <t>1D301</t>
  </si>
  <si>
    <t>𝌁</t>
  </si>
  <si>
    <t>人天</t>
  </si>
  <si>
    <t>97</t>
  </si>
  <si>
    <t>𝌀⚊</t>
  </si>
  <si>
    <t>1D302</t>
  </si>
  <si>
    <t>𝌂</t>
  </si>
  <si>
    <t>天人</t>
  </si>
  <si>
    <t>79</t>
  </si>
  <si>
    <t>⚊𝌀</t>
  </si>
  <si>
    <t>1D303</t>
  </si>
  <si>
    <t>𝌃</t>
  </si>
  <si>
    <t>地人</t>
  </si>
  <si>
    <t>89</t>
  </si>
  <si>
    <t>⚋𝌀</t>
  </si>
  <si>
    <t>1D304</t>
  </si>
  <si>
    <t>𝌄</t>
  </si>
  <si>
    <t>人地</t>
  </si>
  <si>
    <t>98</t>
  </si>
  <si>
    <t>𝌀⚋</t>
  </si>
  <si>
    <t>1D305</t>
  </si>
  <si>
    <t>𝌅</t>
  </si>
  <si>
    <t>人人</t>
  </si>
  <si>
    <t>99</t>
  </si>
  <si>
    <t>𝌀𝌀</t>
  </si>
  <si>
    <t xml:space="preserve">    - derive/⚊⚊/⚌/</t>
  </si>
  <si>
    <t xml:space="preserve">    - derive/⚋⚊/⚍/</t>
  </si>
  <si>
    <t xml:space="preserve">    - derive/⚊⚋/⚎/</t>
  </si>
  <si>
    <t xml:space="preserve">    - derive/⚋⚋/⚏/</t>
  </si>
  <si>
    <t>☲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</si>
  <si>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</si>
  <si>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</si>
  <si>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</si>
  <si>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</si>
  <si>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</si>
  <si>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</si>
  <si>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</si>
  <si>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</si>
  <si>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</si>
  <si>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</si>
  <si>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</si>
  <si>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</si>
  <si>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</si>
  <si>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</si>
  <si>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</si>
  <si>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</si>
  <si>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</si>
  <si>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</si>
  <si>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</si>
  <si>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</si>
  <si>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</si>
  <si>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</si>
  <si>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</si>
  <si>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</si>
  <si>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</si>
  <si>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</si>
  <si>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 xml:space="preserve">    - derive/⚊⚊⚊/☰/</t>
  </si>
  <si>
    <t xml:space="preserve">    - derive/⚋⚊⚊/☱/</t>
  </si>
  <si>
    <t xml:space="preserve">    - derive/⚊⚋⚊/☲/</t>
  </si>
  <si>
    <t xml:space="preserve">    - derive/⚋⚋⚊/☳/</t>
  </si>
  <si>
    <t xml:space="preserve">    - derive/⚊⚊⚋/☴/</t>
  </si>
  <si>
    <t xml:space="preserve">    - derive/⚋⚊⚋/☵/</t>
  </si>
  <si>
    <t xml:space="preserve">    - derive/⚊⚋⚋/☶/</t>
  </si>
  <si>
    <t xml:space="preserve">    - derive/⚋⚋⚋/☷/</t>
  </si>
  <si>
    <t xml:space="preserve">    - derive/𝌀⚊/𝌁/</t>
  </si>
  <si>
    <t xml:space="preserve">    - derive/⚊𝌀/𝌂/</t>
  </si>
  <si>
    <t xml:space="preserve">    - derive/⚋𝌀/𝌃/</t>
  </si>
  <si>
    <t xml:space="preserve">    - derive/𝌀⚋/𝌄/</t>
  </si>
  <si>
    <t xml:space="preserve">    - derive/𝌀𝌀/𝌅/</t>
  </si>
  <si>
    <t>六</t>
    <phoneticPr fontId="1" type="noConversion"/>
  </si>
  <si>
    <t>☰</t>
    <phoneticPr fontId="1" type="noConversion"/>
  </si>
  <si>
    <r>
      <t xml:space="preserve">    - xlit/五</t>
    </r>
    <r>
      <rPr>
        <sz val="12"/>
        <color theme="1"/>
        <rFont val="Segoe UI Symbol"/>
        <family val="2"/>
      </rPr>
      <t>☰☴☲𝌁𝌄☵☳☷</t>
    </r>
    <r>
      <rPr>
        <sz val="12"/>
        <color theme="1"/>
        <rFont val="新細明體"/>
        <family val="2"/>
        <charset val="136"/>
        <scheme val="minor"/>
      </rPr>
      <t>/asdfghjkl/</t>
    </r>
    <phoneticPr fontId="1" type="noConversion"/>
  </si>
  <si>
    <t>⚊⚊</t>
    <phoneticPr fontId="1" type="noConversion"/>
  </si>
  <si>
    <r>
      <t xml:space="preserve">    - xlit/</t>
    </r>
    <r>
      <rPr>
        <sz val="12"/>
        <color theme="1"/>
        <rFont val="新細明體"/>
        <family val="2"/>
        <charset val="136"/>
      </rPr>
      <t>四</t>
    </r>
    <r>
      <rPr>
        <sz val="12"/>
        <color theme="1"/>
        <rFont val="Segoe UI Symbol"/>
        <family val="2"/>
      </rPr>
      <t>𝌂⚎☱⚊⚋☶⚏𝌃𝌀</t>
    </r>
    <r>
      <rPr>
        <sz val="12"/>
        <color theme="1"/>
        <rFont val="新細明體"/>
        <family val="2"/>
        <charset val="136"/>
        <scheme val="minor"/>
      </rPr>
      <t>/qwertyuiop/</t>
    </r>
    <phoneticPr fontId="1" type="noConversion"/>
  </si>
  <si>
    <r>
      <t xml:space="preserve">    - xlit/六七八九</t>
    </r>
    <r>
      <rPr>
        <sz val="12"/>
        <color theme="1"/>
        <rFont val="Segoe UI Symbol"/>
        <family val="2"/>
      </rPr>
      <t>⚌⚍𝌅</t>
    </r>
    <r>
      <rPr>
        <sz val="12"/>
        <color theme="1"/>
        <rFont val="新細明體"/>
        <family val="2"/>
        <charset val="136"/>
        <scheme val="minor"/>
      </rPr>
      <t>/zxcvbnm/</t>
    </r>
    <phoneticPr fontId="1" type="noConversion"/>
  </si>
  <si>
    <t>𝌃</t>
    <phoneticPr fontId="1" type="noConversion"/>
  </si>
  <si>
    <t>𝌂𝌃𝌁</t>
    <phoneticPr fontId="1" type="noConversion"/>
  </si>
  <si>
    <t>𝌁</t>
    <phoneticPr fontId="1" type="noConversion"/>
  </si>
  <si>
    <t>𝌂</t>
    <phoneticPr fontId="1" type="noConversion"/>
  </si>
  <si>
    <t>𝌂𝌁</t>
    <phoneticPr fontId="1" type="noConversion"/>
  </si>
  <si>
    <t>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</si>
</sst>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-ExtB"/>
      <family val="2"/>
      <charset val="134"/>
    </font>
    <font>
      <sz val="12"/>
      <color theme="1"/>
      <name val="新細明體"/>
      <family val="2"/>
      <charset val="136"/>
    </font>
    <font>
      <sz val="12"/>
      <color theme="1"/>
      <name val="Segoe UI Symbol"/>
      <family val="2"/>
    </font>
    <font>
      <sz val="12"/>
      <color theme="1"/>
      <name val="新細明體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CE24-B05E-490D-88A5-20DAB957E454}">
  <dimension ref="A1:M145"/>
  <sheetViews>
    <sheetView workbookViewId="0">
      <selection activeCell="H1" sqref="H1:H1048576"/>
    </sheetView>
  </sheetViews>
  <sheetFormatPr defaultRowHeight="16.2"/>
  <sheetData>
    <row r="1" spans="1:13">
      <c r="A1" t="s">
        <v>227</v>
      </c>
      <c r="B1">
        <v>19904</v>
      </c>
      <c r="C1">
        <v>15</v>
      </c>
      <c r="D1">
        <v>1</v>
      </c>
      <c r="E1" t="s">
        <v>228</v>
      </c>
      <c r="F1" t="s">
        <v>229</v>
      </c>
      <c r="I1">
        <v>111111</v>
      </c>
      <c r="J1" t="s">
        <v>230</v>
      </c>
      <c r="K1" t="s">
        <v>887</v>
      </c>
      <c r="M1" t="str">
        <f>"    - xform/"&amp;$E1&amp;"/"&amp;$K1&amp;"/"</f>
        <v xml:space="preserve">    - xform/䷀/⚊⚊⚊⚊⚊⚊/</v>
      </c>
    </row>
    <row r="2" spans="1:13">
      <c r="A2" t="s">
        <v>231</v>
      </c>
      <c r="B2">
        <v>19905</v>
      </c>
      <c r="C2">
        <v>16</v>
      </c>
      <c r="D2">
        <v>2</v>
      </c>
      <c r="E2" t="s">
        <v>232</v>
      </c>
      <c r="F2" t="s">
        <v>233</v>
      </c>
      <c r="I2">
        <v>222222</v>
      </c>
      <c r="J2" t="s">
        <v>234</v>
      </c>
      <c r="K2" t="s">
        <v>888</v>
      </c>
      <c r="M2" t="str">
        <f t="shared" ref="M2:M65" si="0">"    - xform/"&amp;$E2&amp;"/"&amp;$K2&amp;"/"</f>
        <v xml:space="preserve">    - xform/䷁/⚋⚋⚋⚋⚋⚋/</v>
      </c>
    </row>
    <row r="3" spans="1:13">
      <c r="A3" t="s">
        <v>235</v>
      </c>
      <c r="B3">
        <v>19906</v>
      </c>
      <c r="C3">
        <v>17</v>
      </c>
      <c r="D3">
        <v>3</v>
      </c>
      <c r="E3" t="s">
        <v>236</v>
      </c>
      <c r="F3" t="s">
        <v>237</v>
      </c>
      <c r="I3">
        <v>212221</v>
      </c>
      <c r="J3" t="s">
        <v>238</v>
      </c>
      <c r="K3" t="s">
        <v>889</v>
      </c>
      <c r="M3" t="str">
        <f t="shared" si="0"/>
        <v xml:space="preserve">    - xform/䷂/⚋⚊⚋⚋⚋⚊/</v>
      </c>
    </row>
    <row r="4" spans="1:13">
      <c r="A4" t="s">
        <v>239</v>
      </c>
      <c r="B4">
        <v>19907</v>
      </c>
      <c r="C4">
        <v>18</v>
      </c>
      <c r="D4">
        <v>4</v>
      </c>
      <c r="E4" t="s">
        <v>240</v>
      </c>
      <c r="F4" t="s">
        <v>241</v>
      </c>
      <c r="I4">
        <v>122212</v>
      </c>
      <c r="J4" t="s">
        <v>242</v>
      </c>
      <c r="K4" t="s">
        <v>890</v>
      </c>
      <c r="M4" t="str">
        <f t="shared" si="0"/>
        <v xml:space="preserve">    - xform/䷃/⚊⚋⚋⚋⚊⚋/</v>
      </c>
    </row>
    <row r="5" spans="1:13">
      <c r="A5" t="s">
        <v>243</v>
      </c>
      <c r="B5">
        <v>19908</v>
      </c>
      <c r="C5">
        <v>19</v>
      </c>
      <c r="D5">
        <v>5</v>
      </c>
      <c r="E5" t="s">
        <v>244</v>
      </c>
      <c r="F5" t="s">
        <v>245</v>
      </c>
      <c r="I5">
        <v>212111</v>
      </c>
      <c r="J5" t="s">
        <v>246</v>
      </c>
      <c r="K5" t="s">
        <v>891</v>
      </c>
      <c r="M5" t="str">
        <f t="shared" si="0"/>
        <v xml:space="preserve">    - xform/䷄/⚋⚊⚋⚊⚊⚊/</v>
      </c>
    </row>
    <row r="6" spans="1:13">
      <c r="A6" t="s">
        <v>247</v>
      </c>
      <c r="B6">
        <v>19909</v>
      </c>
      <c r="C6">
        <v>20</v>
      </c>
      <c r="D6">
        <v>6</v>
      </c>
      <c r="E6" t="s">
        <v>248</v>
      </c>
      <c r="F6" t="s">
        <v>249</v>
      </c>
      <c r="I6">
        <v>111212</v>
      </c>
      <c r="J6" t="s">
        <v>250</v>
      </c>
      <c r="K6" t="s">
        <v>892</v>
      </c>
      <c r="M6" t="str">
        <f t="shared" si="0"/>
        <v xml:space="preserve">    - xform/䷅/⚊⚊⚊⚋⚊⚋/</v>
      </c>
    </row>
    <row r="7" spans="1:13">
      <c r="A7" t="s">
        <v>251</v>
      </c>
      <c r="B7">
        <v>19910</v>
      </c>
      <c r="C7">
        <v>21</v>
      </c>
      <c r="D7">
        <v>7</v>
      </c>
      <c r="E7" t="s">
        <v>252</v>
      </c>
      <c r="F7" t="s">
        <v>253</v>
      </c>
      <c r="I7">
        <v>222212</v>
      </c>
      <c r="J7" t="s">
        <v>254</v>
      </c>
      <c r="K7" t="s">
        <v>893</v>
      </c>
      <c r="M7" t="str">
        <f t="shared" si="0"/>
        <v xml:space="preserve">    - xform/䷆/⚋⚋⚋⚋⚊⚋/</v>
      </c>
    </row>
    <row r="8" spans="1:13">
      <c r="A8" t="s">
        <v>255</v>
      </c>
      <c r="B8">
        <v>19911</v>
      </c>
      <c r="C8">
        <v>22</v>
      </c>
      <c r="D8">
        <v>8</v>
      </c>
      <c r="E8" t="s">
        <v>256</v>
      </c>
      <c r="F8" t="s">
        <v>257</v>
      </c>
      <c r="I8">
        <v>212222</v>
      </c>
      <c r="J8" t="s">
        <v>258</v>
      </c>
      <c r="K8" t="s">
        <v>894</v>
      </c>
      <c r="M8" t="str">
        <f t="shared" si="0"/>
        <v xml:space="preserve">    - xform/䷇/⚋⚊⚋⚋⚋⚋/</v>
      </c>
    </row>
    <row r="9" spans="1:13">
      <c r="A9" t="s">
        <v>259</v>
      </c>
      <c r="B9">
        <v>19912</v>
      </c>
      <c r="C9">
        <v>23</v>
      </c>
      <c r="D9">
        <v>9</v>
      </c>
      <c r="E9" t="s">
        <v>260</v>
      </c>
      <c r="F9" t="s">
        <v>261</v>
      </c>
      <c r="I9">
        <v>112111</v>
      </c>
      <c r="J9" t="s">
        <v>262</v>
      </c>
      <c r="K9" t="s">
        <v>895</v>
      </c>
      <c r="M9" t="str">
        <f t="shared" si="0"/>
        <v xml:space="preserve">    - xform/䷈/⚊⚊⚋⚊⚊⚊/</v>
      </c>
    </row>
    <row r="10" spans="1:13">
      <c r="A10" t="s">
        <v>263</v>
      </c>
      <c r="B10">
        <v>19913</v>
      </c>
      <c r="C10">
        <v>24</v>
      </c>
      <c r="D10">
        <v>10</v>
      </c>
      <c r="E10" t="s">
        <v>264</v>
      </c>
      <c r="F10" t="s">
        <v>265</v>
      </c>
      <c r="I10">
        <v>111211</v>
      </c>
      <c r="J10" t="s">
        <v>266</v>
      </c>
      <c r="K10" t="s">
        <v>896</v>
      </c>
      <c r="M10" t="str">
        <f t="shared" si="0"/>
        <v xml:space="preserve">    - xform/䷉/⚊⚊⚊⚋⚊⚊/</v>
      </c>
    </row>
    <row r="11" spans="1:13">
      <c r="A11" t="s">
        <v>267</v>
      </c>
      <c r="B11">
        <v>19914</v>
      </c>
      <c r="C11">
        <v>25</v>
      </c>
      <c r="D11">
        <v>11</v>
      </c>
      <c r="E11" t="s">
        <v>268</v>
      </c>
      <c r="F11" t="s">
        <v>269</v>
      </c>
      <c r="I11">
        <v>222111</v>
      </c>
      <c r="J11" t="s">
        <v>270</v>
      </c>
      <c r="K11" t="s">
        <v>897</v>
      </c>
      <c r="M11" t="str">
        <f t="shared" si="0"/>
        <v xml:space="preserve">    - xform/䷊/⚋⚋⚋⚊⚊⚊/</v>
      </c>
    </row>
    <row r="12" spans="1:13">
      <c r="A12" t="s">
        <v>271</v>
      </c>
      <c r="B12">
        <v>19915</v>
      </c>
      <c r="C12">
        <v>26</v>
      </c>
      <c r="D12">
        <v>12</v>
      </c>
      <c r="E12" t="s">
        <v>272</v>
      </c>
      <c r="F12" t="s">
        <v>273</v>
      </c>
      <c r="I12">
        <v>111222</v>
      </c>
      <c r="J12" t="s">
        <v>274</v>
      </c>
      <c r="K12" t="s">
        <v>898</v>
      </c>
      <c r="M12" t="str">
        <f t="shared" si="0"/>
        <v xml:space="preserve">    - xform/䷋/⚊⚊⚊⚋⚋⚋/</v>
      </c>
    </row>
    <row r="13" spans="1:13">
      <c r="A13" t="s">
        <v>275</v>
      </c>
      <c r="B13">
        <v>19916</v>
      </c>
      <c r="C13">
        <v>27</v>
      </c>
      <c r="D13">
        <v>13</v>
      </c>
      <c r="E13" t="s">
        <v>276</v>
      </c>
      <c r="F13" t="s">
        <v>277</v>
      </c>
      <c r="I13">
        <v>111121</v>
      </c>
      <c r="J13" t="s">
        <v>278</v>
      </c>
      <c r="K13" t="s">
        <v>899</v>
      </c>
      <c r="M13" t="str">
        <f t="shared" si="0"/>
        <v xml:space="preserve">    - xform/䷌/⚊⚊⚊⚊⚋⚊/</v>
      </c>
    </row>
    <row r="14" spans="1:13">
      <c r="A14" t="s">
        <v>279</v>
      </c>
      <c r="B14">
        <v>19917</v>
      </c>
      <c r="C14">
        <v>28</v>
      </c>
      <c r="D14">
        <v>14</v>
      </c>
      <c r="E14" t="s">
        <v>280</v>
      </c>
      <c r="F14" t="s">
        <v>281</v>
      </c>
      <c r="I14">
        <v>121111</v>
      </c>
      <c r="J14" t="s">
        <v>282</v>
      </c>
      <c r="K14" t="s">
        <v>900</v>
      </c>
      <c r="M14" t="str">
        <f t="shared" si="0"/>
        <v xml:space="preserve">    - xform/䷍/⚊⚋⚊⚊⚊⚊/</v>
      </c>
    </row>
    <row r="15" spans="1:13">
      <c r="A15" t="s">
        <v>283</v>
      </c>
      <c r="B15">
        <v>19918</v>
      </c>
      <c r="C15">
        <v>29</v>
      </c>
      <c r="D15">
        <v>15</v>
      </c>
      <c r="E15" t="s">
        <v>284</v>
      </c>
      <c r="F15" t="s">
        <v>285</v>
      </c>
      <c r="I15">
        <v>222122</v>
      </c>
      <c r="J15" t="s">
        <v>286</v>
      </c>
      <c r="K15" t="s">
        <v>901</v>
      </c>
      <c r="M15" t="str">
        <f t="shared" si="0"/>
        <v xml:space="preserve">    - xform/䷎/⚋⚋⚋⚊⚋⚋/</v>
      </c>
    </row>
    <row r="16" spans="1:13">
      <c r="A16" t="s">
        <v>287</v>
      </c>
      <c r="B16">
        <v>19919</v>
      </c>
      <c r="C16">
        <v>30</v>
      </c>
      <c r="D16">
        <v>16</v>
      </c>
      <c r="E16" t="s">
        <v>288</v>
      </c>
      <c r="F16" t="s">
        <v>289</v>
      </c>
      <c r="I16">
        <v>221222</v>
      </c>
      <c r="J16" t="s">
        <v>290</v>
      </c>
      <c r="K16" t="s">
        <v>902</v>
      </c>
      <c r="M16" t="str">
        <f t="shared" si="0"/>
        <v xml:space="preserve">    - xform/䷏/⚋⚋⚊⚋⚋⚋/</v>
      </c>
    </row>
    <row r="17" spans="1:13">
      <c r="A17" t="s">
        <v>291</v>
      </c>
      <c r="B17">
        <v>19920</v>
      </c>
      <c r="C17">
        <v>31</v>
      </c>
      <c r="D17">
        <v>17</v>
      </c>
      <c r="E17" t="s">
        <v>292</v>
      </c>
      <c r="F17" t="s">
        <v>293</v>
      </c>
      <c r="I17">
        <v>211221</v>
      </c>
      <c r="J17" t="s">
        <v>294</v>
      </c>
      <c r="K17" t="s">
        <v>903</v>
      </c>
      <c r="M17" t="str">
        <f t="shared" si="0"/>
        <v xml:space="preserve">    - xform/䷐/⚋⚊⚊⚋⚋⚊/</v>
      </c>
    </row>
    <row r="18" spans="1:13">
      <c r="A18" t="s">
        <v>295</v>
      </c>
      <c r="B18">
        <v>19921</v>
      </c>
      <c r="C18">
        <v>32</v>
      </c>
      <c r="D18">
        <v>18</v>
      </c>
      <c r="E18" t="s">
        <v>296</v>
      </c>
      <c r="F18" t="s">
        <v>297</v>
      </c>
      <c r="I18">
        <v>122112</v>
      </c>
      <c r="J18" t="s">
        <v>298</v>
      </c>
      <c r="K18" t="s">
        <v>904</v>
      </c>
      <c r="M18" t="str">
        <f t="shared" si="0"/>
        <v xml:space="preserve">    - xform/䷑/⚊⚋⚋⚊⚊⚋/</v>
      </c>
    </row>
    <row r="19" spans="1:13">
      <c r="A19" t="s">
        <v>299</v>
      </c>
      <c r="B19">
        <v>19922</v>
      </c>
      <c r="C19">
        <v>33</v>
      </c>
      <c r="D19">
        <v>19</v>
      </c>
      <c r="E19" t="s">
        <v>300</v>
      </c>
      <c r="F19" t="s">
        <v>301</v>
      </c>
      <c r="I19">
        <v>222211</v>
      </c>
      <c r="J19" t="s">
        <v>302</v>
      </c>
      <c r="K19" t="s">
        <v>905</v>
      </c>
      <c r="M19" t="str">
        <f t="shared" si="0"/>
        <v xml:space="preserve">    - xform/䷒/⚋⚋⚋⚋⚊⚊/</v>
      </c>
    </row>
    <row r="20" spans="1:13">
      <c r="A20" t="s">
        <v>303</v>
      </c>
      <c r="B20">
        <v>19923</v>
      </c>
      <c r="C20">
        <v>34</v>
      </c>
      <c r="D20">
        <v>20</v>
      </c>
      <c r="E20" t="s">
        <v>304</v>
      </c>
      <c r="F20" t="s">
        <v>305</v>
      </c>
      <c r="I20">
        <v>112222</v>
      </c>
      <c r="J20" t="s">
        <v>306</v>
      </c>
      <c r="K20" t="s">
        <v>906</v>
      </c>
      <c r="M20" t="str">
        <f t="shared" si="0"/>
        <v xml:space="preserve">    - xform/䷓/⚊⚊⚋⚋⚋⚋/</v>
      </c>
    </row>
    <row r="21" spans="1:13">
      <c r="A21" t="s">
        <v>307</v>
      </c>
      <c r="B21">
        <v>19924</v>
      </c>
      <c r="C21">
        <v>35</v>
      </c>
      <c r="D21">
        <v>21</v>
      </c>
      <c r="E21" t="s">
        <v>308</v>
      </c>
      <c r="F21" t="s">
        <v>309</v>
      </c>
      <c r="I21">
        <v>121221</v>
      </c>
      <c r="J21" t="s">
        <v>310</v>
      </c>
      <c r="K21" t="s">
        <v>907</v>
      </c>
      <c r="M21" t="str">
        <f t="shared" si="0"/>
        <v xml:space="preserve">    - xform/䷔/⚊⚋⚊⚋⚋⚊/</v>
      </c>
    </row>
    <row r="22" spans="1:13">
      <c r="A22" t="s">
        <v>311</v>
      </c>
      <c r="B22">
        <v>19925</v>
      </c>
      <c r="C22">
        <v>36</v>
      </c>
      <c r="D22">
        <v>22</v>
      </c>
      <c r="E22" t="s">
        <v>312</v>
      </c>
      <c r="F22" t="s">
        <v>313</v>
      </c>
      <c r="I22">
        <v>122121</v>
      </c>
      <c r="J22" t="s">
        <v>314</v>
      </c>
      <c r="K22" t="s">
        <v>908</v>
      </c>
      <c r="M22" t="str">
        <f t="shared" si="0"/>
        <v xml:space="preserve">    - xform/䷕/⚊⚋⚋⚊⚋⚊/</v>
      </c>
    </row>
    <row r="23" spans="1:13">
      <c r="A23" t="s">
        <v>315</v>
      </c>
      <c r="B23">
        <v>19926</v>
      </c>
      <c r="C23">
        <v>37</v>
      </c>
      <c r="D23">
        <v>23</v>
      </c>
      <c r="E23" t="s">
        <v>316</v>
      </c>
      <c r="F23" t="s">
        <v>317</v>
      </c>
      <c r="I23">
        <v>122222</v>
      </c>
      <c r="J23" t="s">
        <v>318</v>
      </c>
      <c r="K23" t="s">
        <v>909</v>
      </c>
      <c r="M23" t="str">
        <f t="shared" si="0"/>
        <v xml:space="preserve">    - xform/䷖/⚊⚋⚋⚋⚋⚋/</v>
      </c>
    </row>
    <row r="24" spans="1:13">
      <c r="A24" t="s">
        <v>319</v>
      </c>
      <c r="B24">
        <v>19927</v>
      </c>
      <c r="C24">
        <v>38</v>
      </c>
      <c r="D24">
        <v>24</v>
      </c>
      <c r="E24" t="s">
        <v>320</v>
      </c>
      <c r="F24" t="s">
        <v>321</v>
      </c>
      <c r="I24">
        <v>222221</v>
      </c>
      <c r="J24" t="s">
        <v>322</v>
      </c>
      <c r="K24" t="s">
        <v>910</v>
      </c>
      <c r="M24" t="str">
        <f t="shared" si="0"/>
        <v xml:space="preserve">    - xform/䷗/⚋⚋⚋⚋⚋⚊/</v>
      </c>
    </row>
    <row r="25" spans="1:13">
      <c r="A25" t="s">
        <v>323</v>
      </c>
      <c r="B25">
        <v>19928</v>
      </c>
      <c r="C25">
        <v>39</v>
      </c>
      <c r="D25">
        <v>25</v>
      </c>
      <c r="E25" t="s">
        <v>324</v>
      </c>
      <c r="F25" t="s">
        <v>325</v>
      </c>
      <c r="I25">
        <v>111221</v>
      </c>
      <c r="J25" t="s">
        <v>326</v>
      </c>
      <c r="K25" t="s">
        <v>911</v>
      </c>
      <c r="M25" t="str">
        <f t="shared" si="0"/>
        <v xml:space="preserve">    - xform/䷘/⚊⚊⚊⚋⚋⚊/</v>
      </c>
    </row>
    <row r="26" spans="1:13">
      <c r="A26" t="s">
        <v>327</v>
      </c>
      <c r="B26">
        <v>19929</v>
      </c>
      <c r="C26">
        <v>40</v>
      </c>
      <c r="D26">
        <v>26</v>
      </c>
      <c r="E26" t="s">
        <v>328</v>
      </c>
      <c r="F26" t="s">
        <v>329</v>
      </c>
      <c r="I26">
        <v>122111</v>
      </c>
      <c r="J26" t="s">
        <v>330</v>
      </c>
      <c r="K26" t="s">
        <v>912</v>
      </c>
      <c r="M26" t="str">
        <f t="shared" si="0"/>
        <v xml:space="preserve">    - xform/䷙/⚊⚋⚋⚊⚊⚊/</v>
      </c>
    </row>
    <row r="27" spans="1:13">
      <c r="A27" t="s">
        <v>331</v>
      </c>
      <c r="B27">
        <v>19930</v>
      </c>
      <c r="C27">
        <v>41</v>
      </c>
      <c r="D27">
        <v>27</v>
      </c>
      <c r="E27" t="s">
        <v>332</v>
      </c>
      <c r="F27" t="s">
        <v>333</v>
      </c>
      <c r="I27">
        <v>122221</v>
      </c>
      <c r="J27" t="s">
        <v>334</v>
      </c>
      <c r="K27" t="s">
        <v>913</v>
      </c>
      <c r="M27" t="str">
        <f t="shared" si="0"/>
        <v xml:space="preserve">    - xform/䷚/⚊⚋⚋⚋⚋⚊/</v>
      </c>
    </row>
    <row r="28" spans="1:13">
      <c r="A28" t="s">
        <v>335</v>
      </c>
      <c r="B28">
        <v>19931</v>
      </c>
      <c r="C28">
        <v>42</v>
      </c>
      <c r="D28">
        <v>28</v>
      </c>
      <c r="E28" t="s">
        <v>336</v>
      </c>
      <c r="F28" t="s">
        <v>337</v>
      </c>
      <c r="I28">
        <v>211112</v>
      </c>
      <c r="J28" t="s">
        <v>338</v>
      </c>
      <c r="K28" t="s">
        <v>914</v>
      </c>
      <c r="M28" t="str">
        <f t="shared" si="0"/>
        <v xml:space="preserve">    - xform/䷛/⚋⚊⚊⚊⚊⚋/</v>
      </c>
    </row>
    <row r="29" spans="1:13">
      <c r="A29" t="s">
        <v>339</v>
      </c>
      <c r="B29">
        <v>19932</v>
      </c>
      <c r="C29">
        <v>43</v>
      </c>
      <c r="D29">
        <v>29</v>
      </c>
      <c r="E29" t="s">
        <v>340</v>
      </c>
      <c r="F29" t="s">
        <v>341</v>
      </c>
      <c r="I29">
        <v>212212</v>
      </c>
      <c r="J29" t="s">
        <v>342</v>
      </c>
      <c r="K29" t="s">
        <v>915</v>
      </c>
      <c r="M29" t="str">
        <f t="shared" si="0"/>
        <v xml:space="preserve">    - xform/䷜/⚋⚊⚋⚋⚊⚋/</v>
      </c>
    </row>
    <row r="30" spans="1:13">
      <c r="A30" t="s">
        <v>343</v>
      </c>
      <c r="B30">
        <v>19933</v>
      </c>
      <c r="C30">
        <v>44</v>
      </c>
      <c r="D30">
        <v>30</v>
      </c>
      <c r="E30" t="s">
        <v>344</v>
      </c>
      <c r="F30" t="s">
        <v>345</v>
      </c>
      <c r="I30">
        <v>121121</v>
      </c>
      <c r="J30" t="s">
        <v>346</v>
      </c>
      <c r="K30" t="s">
        <v>916</v>
      </c>
      <c r="M30" t="str">
        <f t="shared" si="0"/>
        <v xml:space="preserve">    - xform/䷝/⚊⚋⚊⚊⚋⚊/</v>
      </c>
    </row>
    <row r="31" spans="1:13">
      <c r="A31" t="s">
        <v>347</v>
      </c>
      <c r="B31">
        <v>19934</v>
      </c>
      <c r="C31">
        <v>45</v>
      </c>
      <c r="D31">
        <v>31</v>
      </c>
      <c r="E31" t="s">
        <v>348</v>
      </c>
      <c r="F31" t="s">
        <v>349</v>
      </c>
      <c r="I31">
        <v>211122</v>
      </c>
      <c r="J31" t="s">
        <v>350</v>
      </c>
      <c r="K31" t="s">
        <v>917</v>
      </c>
      <c r="M31" t="str">
        <f t="shared" si="0"/>
        <v xml:space="preserve">    - xform/䷞/⚋⚊⚊⚊⚋⚋/</v>
      </c>
    </row>
    <row r="32" spans="1:13">
      <c r="A32" t="s">
        <v>351</v>
      </c>
      <c r="B32">
        <v>19935</v>
      </c>
      <c r="C32">
        <v>46</v>
      </c>
      <c r="D32">
        <v>32</v>
      </c>
      <c r="E32" t="s">
        <v>352</v>
      </c>
      <c r="F32" t="s">
        <v>353</v>
      </c>
      <c r="I32">
        <v>221112</v>
      </c>
      <c r="J32" t="s">
        <v>354</v>
      </c>
      <c r="K32" t="s">
        <v>918</v>
      </c>
      <c r="M32" t="str">
        <f t="shared" si="0"/>
        <v xml:space="preserve">    - xform/䷟/⚋⚋⚊⚊⚊⚋/</v>
      </c>
    </row>
    <row r="33" spans="1:13">
      <c r="A33" t="s">
        <v>355</v>
      </c>
      <c r="B33">
        <v>19936</v>
      </c>
      <c r="C33">
        <v>47</v>
      </c>
      <c r="D33">
        <v>33</v>
      </c>
      <c r="E33" t="s">
        <v>356</v>
      </c>
      <c r="F33" t="s">
        <v>357</v>
      </c>
      <c r="I33">
        <v>111122</v>
      </c>
      <c r="J33" t="s">
        <v>358</v>
      </c>
      <c r="K33" t="s">
        <v>919</v>
      </c>
      <c r="M33" t="str">
        <f t="shared" si="0"/>
        <v xml:space="preserve">    - xform/䷠/⚊⚊⚊⚊⚋⚋/</v>
      </c>
    </row>
    <row r="34" spans="1:13">
      <c r="A34" t="s">
        <v>359</v>
      </c>
      <c r="B34">
        <v>19937</v>
      </c>
      <c r="C34">
        <v>48</v>
      </c>
      <c r="D34">
        <v>34</v>
      </c>
      <c r="E34" t="s">
        <v>360</v>
      </c>
      <c r="F34" t="s">
        <v>361</v>
      </c>
      <c r="I34">
        <v>221111</v>
      </c>
      <c r="J34" t="s">
        <v>362</v>
      </c>
      <c r="K34" t="s">
        <v>920</v>
      </c>
      <c r="M34" t="str">
        <f t="shared" si="0"/>
        <v xml:space="preserve">    - xform/䷡/⚋⚋⚊⚊⚊⚊/</v>
      </c>
    </row>
    <row r="35" spans="1:13">
      <c r="A35" t="s">
        <v>363</v>
      </c>
      <c r="B35">
        <v>19938</v>
      </c>
      <c r="C35">
        <v>49</v>
      </c>
      <c r="D35">
        <v>35</v>
      </c>
      <c r="E35" t="s">
        <v>364</v>
      </c>
      <c r="F35" t="s">
        <v>365</v>
      </c>
      <c r="I35">
        <v>121222</v>
      </c>
      <c r="J35" t="s">
        <v>366</v>
      </c>
      <c r="K35" t="s">
        <v>921</v>
      </c>
      <c r="M35" t="str">
        <f t="shared" si="0"/>
        <v xml:space="preserve">    - xform/䷢/⚊⚋⚊⚋⚋⚋/</v>
      </c>
    </row>
    <row r="36" spans="1:13">
      <c r="A36" t="s">
        <v>367</v>
      </c>
      <c r="B36">
        <v>19939</v>
      </c>
      <c r="C36">
        <v>50</v>
      </c>
      <c r="D36">
        <v>36</v>
      </c>
      <c r="E36" t="s">
        <v>368</v>
      </c>
      <c r="F36" t="s">
        <v>369</v>
      </c>
      <c r="I36">
        <v>222121</v>
      </c>
      <c r="J36" t="s">
        <v>370</v>
      </c>
      <c r="K36" t="s">
        <v>922</v>
      </c>
      <c r="M36" t="str">
        <f t="shared" si="0"/>
        <v xml:space="preserve">    - xform/䷣/⚋⚋⚋⚊⚋⚊/</v>
      </c>
    </row>
    <row r="37" spans="1:13">
      <c r="A37" t="s">
        <v>371</v>
      </c>
      <c r="B37">
        <v>19940</v>
      </c>
      <c r="C37">
        <v>51</v>
      </c>
      <c r="D37">
        <v>37</v>
      </c>
      <c r="E37" t="s">
        <v>372</v>
      </c>
      <c r="F37" t="s">
        <v>373</v>
      </c>
      <c r="I37">
        <v>112121</v>
      </c>
      <c r="J37" t="s">
        <v>374</v>
      </c>
      <c r="K37" t="s">
        <v>923</v>
      </c>
      <c r="M37" t="str">
        <f t="shared" si="0"/>
        <v xml:space="preserve">    - xform/䷤/⚊⚊⚋⚊⚋⚊/</v>
      </c>
    </row>
    <row r="38" spans="1:13">
      <c r="A38" t="s">
        <v>375</v>
      </c>
      <c r="B38">
        <v>19941</v>
      </c>
      <c r="C38">
        <v>52</v>
      </c>
      <c r="D38">
        <v>38</v>
      </c>
      <c r="E38" t="s">
        <v>376</v>
      </c>
      <c r="F38" t="s">
        <v>377</v>
      </c>
      <c r="I38">
        <v>121211</v>
      </c>
      <c r="J38" t="s">
        <v>378</v>
      </c>
      <c r="K38" t="s">
        <v>924</v>
      </c>
      <c r="M38" t="str">
        <f t="shared" si="0"/>
        <v xml:space="preserve">    - xform/䷥/⚊⚋⚊⚋⚊⚊/</v>
      </c>
    </row>
    <row r="39" spans="1:13">
      <c r="A39" t="s">
        <v>379</v>
      </c>
      <c r="B39">
        <v>19942</v>
      </c>
      <c r="C39">
        <v>53</v>
      </c>
      <c r="D39">
        <v>39</v>
      </c>
      <c r="E39" t="s">
        <v>380</v>
      </c>
      <c r="F39" t="s">
        <v>381</v>
      </c>
      <c r="I39">
        <v>212122</v>
      </c>
      <c r="J39" t="s">
        <v>382</v>
      </c>
      <c r="K39" t="s">
        <v>925</v>
      </c>
      <c r="M39" t="str">
        <f t="shared" si="0"/>
        <v xml:space="preserve">    - xform/䷦/⚋⚊⚋⚊⚋⚋/</v>
      </c>
    </row>
    <row r="40" spans="1:13">
      <c r="A40" t="s">
        <v>383</v>
      </c>
      <c r="B40">
        <v>19943</v>
      </c>
      <c r="C40">
        <v>54</v>
      </c>
      <c r="D40">
        <v>40</v>
      </c>
      <c r="E40" t="s">
        <v>384</v>
      </c>
      <c r="F40" t="s">
        <v>385</v>
      </c>
      <c r="I40">
        <v>221212</v>
      </c>
      <c r="J40" t="s">
        <v>386</v>
      </c>
      <c r="K40" t="s">
        <v>926</v>
      </c>
      <c r="M40" t="str">
        <f t="shared" si="0"/>
        <v xml:space="preserve">    - xform/䷧/⚋⚋⚊⚋⚊⚋/</v>
      </c>
    </row>
    <row r="41" spans="1:13">
      <c r="A41" t="s">
        <v>387</v>
      </c>
      <c r="B41">
        <v>19944</v>
      </c>
      <c r="C41">
        <v>55</v>
      </c>
      <c r="D41">
        <v>41</v>
      </c>
      <c r="E41" t="s">
        <v>388</v>
      </c>
      <c r="F41" t="s">
        <v>389</v>
      </c>
      <c r="I41">
        <v>122211</v>
      </c>
      <c r="J41" t="s">
        <v>390</v>
      </c>
      <c r="K41" t="s">
        <v>927</v>
      </c>
      <c r="M41" t="str">
        <f t="shared" si="0"/>
        <v xml:space="preserve">    - xform/䷨/⚊⚋⚋⚋⚊⚊/</v>
      </c>
    </row>
    <row r="42" spans="1:13">
      <c r="A42" t="s">
        <v>391</v>
      </c>
      <c r="B42">
        <v>19945</v>
      </c>
      <c r="C42">
        <v>56</v>
      </c>
      <c r="D42">
        <v>42</v>
      </c>
      <c r="E42" t="s">
        <v>392</v>
      </c>
      <c r="F42" t="s">
        <v>393</v>
      </c>
      <c r="I42">
        <v>112221</v>
      </c>
      <c r="J42" t="s">
        <v>394</v>
      </c>
      <c r="K42" t="s">
        <v>928</v>
      </c>
      <c r="M42" t="str">
        <f t="shared" si="0"/>
        <v xml:space="preserve">    - xform/䷩/⚊⚊⚋⚋⚋⚊/</v>
      </c>
    </row>
    <row r="43" spans="1:13">
      <c r="A43" t="s">
        <v>395</v>
      </c>
      <c r="B43">
        <v>19946</v>
      </c>
      <c r="C43">
        <v>57</v>
      </c>
      <c r="D43">
        <v>43</v>
      </c>
      <c r="E43" t="s">
        <v>396</v>
      </c>
      <c r="F43" t="s">
        <v>397</v>
      </c>
      <c r="I43">
        <v>211111</v>
      </c>
      <c r="J43" t="s">
        <v>398</v>
      </c>
      <c r="K43" t="s">
        <v>929</v>
      </c>
      <c r="M43" t="str">
        <f t="shared" si="0"/>
        <v xml:space="preserve">    - xform/䷪/⚋⚊⚊⚊⚊⚊/</v>
      </c>
    </row>
    <row r="44" spans="1:13">
      <c r="A44" t="s">
        <v>399</v>
      </c>
      <c r="B44">
        <v>19947</v>
      </c>
      <c r="C44">
        <v>58</v>
      </c>
      <c r="D44">
        <v>44</v>
      </c>
      <c r="E44" t="s">
        <v>400</v>
      </c>
      <c r="F44" t="s">
        <v>401</v>
      </c>
      <c r="I44">
        <v>111112</v>
      </c>
      <c r="J44" t="s">
        <v>402</v>
      </c>
      <c r="K44" t="s">
        <v>930</v>
      </c>
      <c r="M44" t="str">
        <f t="shared" si="0"/>
        <v xml:space="preserve">    - xform/䷫/⚊⚊⚊⚊⚊⚋/</v>
      </c>
    </row>
    <row r="45" spans="1:13">
      <c r="A45" t="s">
        <v>403</v>
      </c>
      <c r="B45">
        <v>19948</v>
      </c>
      <c r="C45">
        <v>59</v>
      </c>
      <c r="D45">
        <v>45</v>
      </c>
      <c r="E45" t="s">
        <v>404</v>
      </c>
      <c r="F45" t="s">
        <v>405</v>
      </c>
      <c r="I45">
        <v>211222</v>
      </c>
      <c r="J45" t="s">
        <v>406</v>
      </c>
      <c r="K45" t="s">
        <v>931</v>
      </c>
      <c r="M45" t="str">
        <f t="shared" si="0"/>
        <v xml:space="preserve">    - xform/䷬/⚋⚊⚊⚋⚋⚋/</v>
      </c>
    </row>
    <row r="46" spans="1:13">
      <c r="A46" t="s">
        <v>407</v>
      </c>
      <c r="B46">
        <v>19949</v>
      </c>
      <c r="C46">
        <v>60</v>
      </c>
      <c r="D46">
        <v>46</v>
      </c>
      <c r="E46" t="s">
        <v>408</v>
      </c>
      <c r="F46" t="s">
        <v>409</v>
      </c>
      <c r="I46">
        <v>222112</v>
      </c>
      <c r="J46" t="s">
        <v>410</v>
      </c>
      <c r="K46" t="s">
        <v>932</v>
      </c>
      <c r="M46" t="str">
        <f t="shared" si="0"/>
        <v xml:space="preserve">    - xform/䷭/⚋⚋⚋⚊⚊⚋/</v>
      </c>
    </row>
    <row r="47" spans="1:13">
      <c r="A47" t="s">
        <v>411</v>
      </c>
      <c r="B47">
        <v>19950</v>
      </c>
      <c r="C47">
        <v>61</v>
      </c>
      <c r="D47">
        <v>47</v>
      </c>
      <c r="E47" t="s">
        <v>412</v>
      </c>
      <c r="F47" t="s">
        <v>413</v>
      </c>
      <c r="I47">
        <v>211212</v>
      </c>
      <c r="J47" t="s">
        <v>414</v>
      </c>
      <c r="K47" t="s">
        <v>933</v>
      </c>
      <c r="M47" t="str">
        <f t="shared" si="0"/>
        <v xml:space="preserve">    - xform/䷮/⚋⚊⚊⚋⚊⚋/</v>
      </c>
    </row>
    <row r="48" spans="1:13">
      <c r="A48" t="s">
        <v>415</v>
      </c>
      <c r="B48">
        <v>19951</v>
      </c>
      <c r="C48">
        <v>62</v>
      </c>
      <c r="D48">
        <v>48</v>
      </c>
      <c r="E48" t="s">
        <v>416</v>
      </c>
      <c r="F48" t="s">
        <v>417</v>
      </c>
      <c r="I48">
        <v>212112</v>
      </c>
      <c r="J48" t="s">
        <v>418</v>
      </c>
      <c r="K48" t="s">
        <v>934</v>
      </c>
      <c r="M48" t="str">
        <f t="shared" si="0"/>
        <v xml:space="preserve">    - xform/䷯/⚋⚊⚋⚊⚊⚋/</v>
      </c>
    </row>
    <row r="49" spans="1:13">
      <c r="A49" t="s">
        <v>419</v>
      </c>
      <c r="B49">
        <v>19952</v>
      </c>
      <c r="C49">
        <v>63</v>
      </c>
      <c r="D49">
        <v>49</v>
      </c>
      <c r="E49" t="s">
        <v>420</v>
      </c>
      <c r="F49" t="s">
        <v>421</v>
      </c>
      <c r="I49">
        <v>211121</v>
      </c>
      <c r="J49" t="s">
        <v>422</v>
      </c>
      <c r="K49" t="s">
        <v>935</v>
      </c>
      <c r="M49" t="str">
        <f t="shared" si="0"/>
        <v xml:space="preserve">    - xform/䷰/⚋⚊⚊⚊⚋⚊/</v>
      </c>
    </row>
    <row r="50" spans="1:13">
      <c r="A50" t="s">
        <v>423</v>
      </c>
      <c r="B50">
        <v>19953</v>
      </c>
      <c r="C50">
        <v>64</v>
      </c>
      <c r="D50">
        <v>50</v>
      </c>
      <c r="E50" t="s">
        <v>424</v>
      </c>
      <c r="F50" t="s">
        <v>425</v>
      </c>
      <c r="I50">
        <v>121112</v>
      </c>
      <c r="J50" t="s">
        <v>426</v>
      </c>
      <c r="K50" t="s">
        <v>936</v>
      </c>
      <c r="M50" t="str">
        <f t="shared" si="0"/>
        <v xml:space="preserve">    - xform/䷱/⚊⚋⚊⚊⚊⚋/</v>
      </c>
    </row>
    <row r="51" spans="1:13">
      <c r="A51" t="s">
        <v>427</v>
      </c>
      <c r="B51">
        <v>19954</v>
      </c>
      <c r="C51">
        <v>65</v>
      </c>
      <c r="D51">
        <v>51</v>
      </c>
      <c r="E51" t="s">
        <v>428</v>
      </c>
      <c r="F51" t="s">
        <v>429</v>
      </c>
      <c r="I51">
        <v>221221</v>
      </c>
      <c r="J51" t="s">
        <v>430</v>
      </c>
      <c r="K51" t="s">
        <v>937</v>
      </c>
      <c r="M51" t="str">
        <f t="shared" si="0"/>
        <v xml:space="preserve">    - xform/䷲/⚋⚋⚊⚋⚋⚊/</v>
      </c>
    </row>
    <row r="52" spans="1:13">
      <c r="A52" t="s">
        <v>431</v>
      </c>
      <c r="B52">
        <v>19955</v>
      </c>
      <c r="C52">
        <v>66</v>
      </c>
      <c r="D52">
        <v>52</v>
      </c>
      <c r="E52" t="s">
        <v>432</v>
      </c>
      <c r="F52" t="s">
        <v>433</v>
      </c>
      <c r="I52">
        <v>122122</v>
      </c>
      <c r="J52" t="s">
        <v>434</v>
      </c>
      <c r="K52" t="s">
        <v>938</v>
      </c>
      <c r="M52" t="str">
        <f t="shared" si="0"/>
        <v xml:space="preserve">    - xform/䷳/⚊⚋⚋⚊⚋⚋/</v>
      </c>
    </row>
    <row r="53" spans="1:13">
      <c r="A53" t="s">
        <v>435</v>
      </c>
      <c r="B53">
        <v>19956</v>
      </c>
      <c r="C53">
        <v>67</v>
      </c>
      <c r="D53">
        <v>53</v>
      </c>
      <c r="E53" t="s">
        <v>436</v>
      </c>
      <c r="F53" t="s">
        <v>437</v>
      </c>
      <c r="I53">
        <v>112122</v>
      </c>
      <c r="J53" t="s">
        <v>438</v>
      </c>
      <c r="K53" t="s">
        <v>939</v>
      </c>
      <c r="M53" t="str">
        <f t="shared" si="0"/>
        <v xml:space="preserve">    - xform/䷴/⚊⚊⚋⚊⚋⚋/</v>
      </c>
    </row>
    <row r="54" spans="1:13">
      <c r="A54" t="s">
        <v>439</v>
      </c>
      <c r="B54">
        <v>19957</v>
      </c>
      <c r="C54">
        <v>68</v>
      </c>
      <c r="D54">
        <v>54</v>
      </c>
      <c r="E54" t="s">
        <v>440</v>
      </c>
      <c r="F54" t="s">
        <v>441</v>
      </c>
      <c r="I54">
        <v>221211</v>
      </c>
      <c r="J54" t="s">
        <v>442</v>
      </c>
      <c r="K54" t="s">
        <v>940</v>
      </c>
      <c r="M54" t="str">
        <f t="shared" si="0"/>
        <v xml:space="preserve">    - xform/䷵/⚋⚋⚊⚋⚊⚊/</v>
      </c>
    </row>
    <row r="55" spans="1:13">
      <c r="A55" t="s">
        <v>443</v>
      </c>
      <c r="B55">
        <v>19958</v>
      </c>
      <c r="C55">
        <v>69</v>
      </c>
      <c r="D55">
        <v>55</v>
      </c>
      <c r="E55" t="s">
        <v>444</v>
      </c>
      <c r="F55" t="s">
        <v>445</v>
      </c>
      <c r="I55">
        <v>221121</v>
      </c>
      <c r="J55" t="s">
        <v>446</v>
      </c>
      <c r="K55" t="s">
        <v>941</v>
      </c>
      <c r="M55" t="str">
        <f t="shared" si="0"/>
        <v xml:space="preserve">    - xform/䷶/⚋⚋⚊⚊⚋⚊/</v>
      </c>
    </row>
    <row r="56" spans="1:13">
      <c r="A56" t="s">
        <v>447</v>
      </c>
      <c r="B56">
        <v>19959</v>
      </c>
      <c r="C56">
        <v>70</v>
      </c>
      <c r="D56">
        <v>56</v>
      </c>
      <c r="E56" t="s">
        <v>448</v>
      </c>
      <c r="F56" t="s">
        <v>449</v>
      </c>
      <c r="I56">
        <v>121122</v>
      </c>
      <c r="J56" t="s">
        <v>450</v>
      </c>
      <c r="K56" t="s">
        <v>942</v>
      </c>
      <c r="M56" t="str">
        <f t="shared" si="0"/>
        <v xml:space="preserve">    - xform/䷷/⚊⚋⚊⚊⚋⚋/</v>
      </c>
    </row>
    <row r="57" spans="1:13">
      <c r="A57" t="s">
        <v>451</v>
      </c>
      <c r="B57">
        <v>19960</v>
      </c>
      <c r="C57">
        <v>71</v>
      </c>
      <c r="D57">
        <v>57</v>
      </c>
      <c r="E57" t="s">
        <v>452</v>
      </c>
      <c r="F57" t="s">
        <v>453</v>
      </c>
      <c r="I57">
        <v>112112</v>
      </c>
      <c r="J57" t="s">
        <v>454</v>
      </c>
      <c r="K57" t="s">
        <v>943</v>
      </c>
      <c r="M57" t="str">
        <f t="shared" si="0"/>
        <v xml:space="preserve">    - xform/䷸/⚊⚊⚋⚊⚊⚋/</v>
      </c>
    </row>
    <row r="58" spans="1:13">
      <c r="A58" t="s">
        <v>455</v>
      </c>
      <c r="B58">
        <v>19961</v>
      </c>
      <c r="C58">
        <v>72</v>
      </c>
      <c r="D58">
        <v>58</v>
      </c>
      <c r="E58" t="s">
        <v>456</v>
      </c>
      <c r="F58" t="s">
        <v>457</v>
      </c>
      <c r="I58">
        <v>211211</v>
      </c>
      <c r="J58" t="s">
        <v>458</v>
      </c>
      <c r="K58" t="s">
        <v>944</v>
      </c>
      <c r="M58" t="str">
        <f t="shared" si="0"/>
        <v xml:space="preserve">    - xform/䷹/⚋⚊⚊⚋⚊⚊/</v>
      </c>
    </row>
    <row r="59" spans="1:13">
      <c r="A59" t="s">
        <v>459</v>
      </c>
      <c r="B59">
        <v>19962</v>
      </c>
      <c r="C59">
        <v>73</v>
      </c>
      <c r="D59">
        <v>59</v>
      </c>
      <c r="E59" t="s">
        <v>460</v>
      </c>
      <c r="F59" t="s">
        <v>461</v>
      </c>
      <c r="I59">
        <v>112212</v>
      </c>
      <c r="J59" t="s">
        <v>462</v>
      </c>
      <c r="K59" t="s">
        <v>945</v>
      </c>
      <c r="M59" t="str">
        <f t="shared" si="0"/>
        <v xml:space="preserve">    - xform/䷺/⚊⚊⚋⚋⚊⚋/</v>
      </c>
    </row>
    <row r="60" spans="1:13">
      <c r="A60" t="s">
        <v>463</v>
      </c>
      <c r="B60">
        <v>19963</v>
      </c>
      <c r="C60">
        <v>74</v>
      </c>
      <c r="D60">
        <v>60</v>
      </c>
      <c r="E60" t="s">
        <v>464</v>
      </c>
      <c r="F60" t="s">
        <v>465</v>
      </c>
      <c r="I60">
        <v>212211</v>
      </c>
      <c r="J60" t="s">
        <v>466</v>
      </c>
      <c r="K60" t="s">
        <v>946</v>
      </c>
      <c r="M60" t="str">
        <f t="shared" si="0"/>
        <v xml:space="preserve">    - xform/䷻/⚋⚊⚋⚋⚊⚊/</v>
      </c>
    </row>
    <row r="61" spans="1:13">
      <c r="A61" t="s">
        <v>467</v>
      </c>
      <c r="B61">
        <v>19964</v>
      </c>
      <c r="C61">
        <v>75</v>
      </c>
      <c r="D61">
        <v>61</v>
      </c>
      <c r="E61" t="s">
        <v>468</v>
      </c>
      <c r="F61" t="s">
        <v>469</v>
      </c>
      <c r="I61">
        <v>112211</v>
      </c>
      <c r="J61" t="s">
        <v>470</v>
      </c>
      <c r="K61" t="s">
        <v>947</v>
      </c>
      <c r="M61" t="str">
        <f t="shared" si="0"/>
        <v xml:space="preserve">    - xform/䷼/⚊⚊⚋⚋⚊⚊/</v>
      </c>
    </row>
    <row r="62" spans="1:13">
      <c r="A62" t="s">
        <v>471</v>
      </c>
      <c r="B62">
        <v>19965</v>
      </c>
      <c r="C62">
        <v>76</v>
      </c>
      <c r="D62">
        <v>62</v>
      </c>
      <c r="E62" t="s">
        <v>472</v>
      </c>
      <c r="F62" t="s">
        <v>473</v>
      </c>
      <c r="I62">
        <v>221122</v>
      </c>
      <c r="J62" t="s">
        <v>474</v>
      </c>
      <c r="K62" t="s">
        <v>948</v>
      </c>
      <c r="M62" t="str">
        <f t="shared" si="0"/>
        <v xml:space="preserve">    - xform/䷽/⚋⚋⚊⚊⚋⚋/</v>
      </c>
    </row>
    <row r="63" spans="1:13">
      <c r="A63" t="s">
        <v>475</v>
      </c>
      <c r="B63">
        <v>19966</v>
      </c>
      <c r="C63">
        <v>77</v>
      </c>
      <c r="D63">
        <v>63</v>
      </c>
      <c r="E63" t="s">
        <v>476</v>
      </c>
      <c r="F63" t="s">
        <v>477</v>
      </c>
      <c r="I63">
        <v>212121</v>
      </c>
      <c r="J63" t="s">
        <v>478</v>
      </c>
      <c r="K63" t="s">
        <v>949</v>
      </c>
      <c r="M63" t="str">
        <f t="shared" si="0"/>
        <v xml:space="preserve">    - xform/䷾/⚋⚊⚋⚊⚋⚊/</v>
      </c>
    </row>
    <row r="64" spans="1:13">
      <c r="A64" t="s">
        <v>479</v>
      </c>
      <c r="B64">
        <v>19967</v>
      </c>
      <c r="C64">
        <v>78</v>
      </c>
      <c r="D64">
        <v>64</v>
      </c>
      <c r="E64" t="s">
        <v>480</v>
      </c>
      <c r="F64" t="s">
        <v>481</v>
      </c>
      <c r="I64">
        <v>121212</v>
      </c>
      <c r="J64" t="s">
        <v>482</v>
      </c>
      <c r="K64" t="s">
        <v>950</v>
      </c>
      <c r="M64" t="str">
        <f t="shared" si="0"/>
        <v xml:space="preserve">    - xform/䷿/⚊⚋⚊⚋⚊⚋/</v>
      </c>
    </row>
    <row r="65" spans="1:13">
      <c r="A65" t="s">
        <v>483</v>
      </c>
      <c r="B65">
        <v>119558</v>
      </c>
      <c r="C65">
        <v>85</v>
      </c>
      <c r="D65">
        <v>1</v>
      </c>
      <c r="E65" t="s">
        <v>484</v>
      </c>
      <c r="G65" t="s">
        <v>485</v>
      </c>
      <c r="I65" t="s">
        <v>486</v>
      </c>
      <c r="J65" t="s">
        <v>487</v>
      </c>
      <c r="K65" t="s">
        <v>951</v>
      </c>
      <c r="M65" t="str">
        <f t="shared" si="0"/>
        <v xml:space="preserve">    - xform/𝌆/⚊⚊⚊⚊/</v>
      </c>
    </row>
    <row r="66" spans="1:13">
      <c r="A66" t="s">
        <v>488</v>
      </c>
      <c r="B66">
        <v>119559</v>
      </c>
      <c r="C66">
        <v>86</v>
      </c>
      <c r="D66">
        <v>2</v>
      </c>
      <c r="E66" t="s">
        <v>489</v>
      </c>
      <c r="G66" t="s">
        <v>490</v>
      </c>
      <c r="I66" t="s">
        <v>491</v>
      </c>
      <c r="J66" t="s">
        <v>492</v>
      </c>
      <c r="K66" t="s">
        <v>952</v>
      </c>
      <c r="M66" t="str">
        <f t="shared" ref="M66:M129" si="1">"    - xform/"&amp;$E66&amp;"/"&amp;$K66&amp;"/"</f>
        <v xml:space="preserve">    - xform/𝌇/⚊⚊⚊⚋/</v>
      </c>
    </row>
    <row r="67" spans="1:13">
      <c r="A67" t="s">
        <v>493</v>
      </c>
      <c r="B67">
        <v>119560</v>
      </c>
      <c r="C67">
        <v>87</v>
      </c>
      <c r="D67">
        <v>3</v>
      </c>
      <c r="E67" t="s">
        <v>494</v>
      </c>
      <c r="G67" t="s">
        <v>495</v>
      </c>
      <c r="I67" t="s">
        <v>496</v>
      </c>
      <c r="J67" t="s">
        <v>497</v>
      </c>
      <c r="K67" t="s">
        <v>953</v>
      </c>
      <c r="M67" t="str">
        <f t="shared" si="1"/>
        <v xml:space="preserve">    - xform/𝌈/⚊⚊⚊𝌀/</v>
      </c>
    </row>
    <row r="68" spans="1:13">
      <c r="A68" t="s">
        <v>498</v>
      </c>
      <c r="B68">
        <v>119561</v>
      </c>
      <c r="C68">
        <v>88</v>
      </c>
      <c r="D68">
        <v>4</v>
      </c>
      <c r="E68" t="s">
        <v>499</v>
      </c>
      <c r="G68" t="s">
        <v>500</v>
      </c>
      <c r="I68" t="s">
        <v>501</v>
      </c>
      <c r="J68" t="s">
        <v>502</v>
      </c>
      <c r="K68" t="s">
        <v>954</v>
      </c>
      <c r="M68" t="str">
        <f t="shared" si="1"/>
        <v xml:space="preserve">    - xform/𝌉/⚊⚊⚋⚊/</v>
      </c>
    </row>
    <row r="69" spans="1:13">
      <c r="A69" t="s">
        <v>503</v>
      </c>
      <c r="B69">
        <v>119562</v>
      </c>
      <c r="C69">
        <v>89</v>
      </c>
      <c r="D69">
        <v>5</v>
      </c>
      <c r="E69" t="s">
        <v>504</v>
      </c>
      <c r="G69" t="s">
        <v>505</v>
      </c>
      <c r="I69" t="s">
        <v>506</v>
      </c>
      <c r="J69" t="s">
        <v>507</v>
      </c>
      <c r="K69" t="s">
        <v>955</v>
      </c>
      <c r="M69" t="str">
        <f t="shared" si="1"/>
        <v xml:space="preserve">    - xform/𝌊/⚊⚊⚋⚋/</v>
      </c>
    </row>
    <row r="70" spans="1:13">
      <c r="A70" t="s">
        <v>508</v>
      </c>
      <c r="B70">
        <v>119563</v>
      </c>
      <c r="C70">
        <v>90</v>
      </c>
      <c r="D70">
        <v>6</v>
      </c>
      <c r="E70" t="s">
        <v>509</v>
      </c>
      <c r="G70" t="s">
        <v>510</v>
      </c>
      <c r="I70" t="s">
        <v>511</v>
      </c>
      <c r="J70" t="s">
        <v>512</v>
      </c>
      <c r="K70" t="s">
        <v>956</v>
      </c>
      <c r="M70" t="str">
        <f t="shared" si="1"/>
        <v xml:space="preserve">    - xform/𝌋/⚊⚊⚋𝌀/</v>
      </c>
    </row>
    <row r="71" spans="1:13">
      <c r="A71" t="s">
        <v>513</v>
      </c>
      <c r="B71">
        <v>119564</v>
      </c>
      <c r="C71">
        <v>91</v>
      </c>
      <c r="D71">
        <v>7</v>
      </c>
      <c r="E71" t="s">
        <v>514</v>
      </c>
      <c r="G71" t="s">
        <v>515</v>
      </c>
      <c r="I71" t="s">
        <v>516</v>
      </c>
      <c r="J71" t="s">
        <v>517</v>
      </c>
      <c r="K71" t="s">
        <v>957</v>
      </c>
      <c r="M71" t="str">
        <f t="shared" si="1"/>
        <v xml:space="preserve">    - xform/𝌌/⚊⚊𝌀⚊/</v>
      </c>
    </row>
    <row r="72" spans="1:13">
      <c r="A72" t="s">
        <v>518</v>
      </c>
      <c r="B72">
        <v>119565</v>
      </c>
      <c r="C72">
        <v>92</v>
      </c>
      <c r="D72">
        <v>8</v>
      </c>
      <c r="E72" t="s">
        <v>519</v>
      </c>
      <c r="G72" t="s">
        <v>520</v>
      </c>
      <c r="I72" t="s">
        <v>521</v>
      </c>
      <c r="J72" t="s">
        <v>522</v>
      </c>
      <c r="K72" t="s">
        <v>958</v>
      </c>
      <c r="M72" t="str">
        <f t="shared" si="1"/>
        <v xml:space="preserve">    - xform/𝌍/⚊⚊𝌀⚋/</v>
      </c>
    </row>
    <row r="73" spans="1:13">
      <c r="A73" t="s">
        <v>523</v>
      </c>
      <c r="B73">
        <v>119566</v>
      </c>
      <c r="C73">
        <v>93</v>
      </c>
      <c r="D73">
        <v>9</v>
      </c>
      <c r="E73" t="s">
        <v>524</v>
      </c>
      <c r="G73" t="s">
        <v>525</v>
      </c>
      <c r="I73" t="s">
        <v>526</v>
      </c>
      <c r="J73" t="s">
        <v>527</v>
      </c>
      <c r="K73" t="s">
        <v>959</v>
      </c>
      <c r="M73" t="str">
        <f t="shared" si="1"/>
        <v xml:space="preserve">    - xform/𝌎/⚊⚊𝌀𝌀/</v>
      </c>
    </row>
    <row r="74" spans="1:13">
      <c r="A74" t="s">
        <v>528</v>
      </c>
      <c r="B74">
        <v>119567</v>
      </c>
      <c r="C74">
        <v>94</v>
      </c>
      <c r="D74">
        <v>10</v>
      </c>
      <c r="E74" t="s">
        <v>529</v>
      </c>
      <c r="G74" t="s">
        <v>530</v>
      </c>
      <c r="I74" t="s">
        <v>531</v>
      </c>
      <c r="J74" t="s">
        <v>532</v>
      </c>
      <c r="K74" t="s">
        <v>960</v>
      </c>
      <c r="M74" t="str">
        <f t="shared" si="1"/>
        <v xml:space="preserve">    - xform/𝌏/⚊⚋⚊⚊/</v>
      </c>
    </row>
    <row r="75" spans="1:13">
      <c r="A75" t="s">
        <v>533</v>
      </c>
      <c r="B75">
        <v>119568</v>
      </c>
      <c r="C75">
        <v>95</v>
      </c>
      <c r="D75">
        <v>11</v>
      </c>
      <c r="E75" t="s">
        <v>534</v>
      </c>
      <c r="G75" t="s">
        <v>535</v>
      </c>
      <c r="I75" t="s">
        <v>536</v>
      </c>
      <c r="J75" t="s">
        <v>537</v>
      </c>
      <c r="K75" t="s">
        <v>961</v>
      </c>
      <c r="M75" t="str">
        <f t="shared" si="1"/>
        <v xml:space="preserve">    - xform/𝌐/⚊⚋⚊⚋/</v>
      </c>
    </row>
    <row r="76" spans="1:13">
      <c r="A76" t="s">
        <v>538</v>
      </c>
      <c r="B76">
        <v>119569</v>
      </c>
      <c r="C76">
        <v>96</v>
      </c>
      <c r="D76">
        <v>12</v>
      </c>
      <c r="E76" t="s">
        <v>539</v>
      </c>
      <c r="G76" t="s">
        <v>540</v>
      </c>
      <c r="I76" t="s">
        <v>541</v>
      </c>
      <c r="J76" t="s">
        <v>542</v>
      </c>
      <c r="K76" t="s">
        <v>962</v>
      </c>
      <c r="M76" t="str">
        <f t="shared" si="1"/>
        <v xml:space="preserve">    - xform/𝌑/⚊⚋⚊𝌀/</v>
      </c>
    </row>
    <row r="77" spans="1:13">
      <c r="A77" t="s">
        <v>543</v>
      </c>
      <c r="B77">
        <v>119570</v>
      </c>
      <c r="C77">
        <v>97</v>
      </c>
      <c r="D77">
        <v>13</v>
      </c>
      <c r="E77" t="s">
        <v>544</v>
      </c>
      <c r="G77" t="s">
        <v>545</v>
      </c>
      <c r="I77" t="s">
        <v>546</v>
      </c>
      <c r="J77" t="s">
        <v>547</v>
      </c>
      <c r="K77" t="s">
        <v>963</v>
      </c>
      <c r="M77" t="str">
        <f t="shared" si="1"/>
        <v xml:space="preserve">    - xform/𝌒/⚊⚋⚋⚊/</v>
      </c>
    </row>
    <row r="78" spans="1:13">
      <c r="A78" t="s">
        <v>548</v>
      </c>
      <c r="B78">
        <v>119571</v>
      </c>
      <c r="C78">
        <v>98</v>
      </c>
      <c r="D78">
        <v>14</v>
      </c>
      <c r="E78" t="s">
        <v>549</v>
      </c>
      <c r="G78" t="s">
        <v>550</v>
      </c>
      <c r="I78" t="s">
        <v>551</v>
      </c>
      <c r="J78" t="s">
        <v>552</v>
      </c>
      <c r="K78" t="s">
        <v>964</v>
      </c>
      <c r="M78" t="str">
        <f t="shared" si="1"/>
        <v xml:space="preserve">    - xform/𝌓/⚊⚋⚋⚋/</v>
      </c>
    </row>
    <row r="79" spans="1:13">
      <c r="A79" t="s">
        <v>553</v>
      </c>
      <c r="B79">
        <v>119572</v>
      </c>
      <c r="C79">
        <v>99</v>
      </c>
      <c r="D79">
        <v>15</v>
      </c>
      <c r="E79" t="s">
        <v>554</v>
      </c>
      <c r="G79" t="s">
        <v>555</v>
      </c>
      <c r="I79" t="s">
        <v>556</v>
      </c>
      <c r="J79" t="s">
        <v>557</v>
      </c>
      <c r="K79" t="s">
        <v>965</v>
      </c>
      <c r="M79" t="str">
        <f t="shared" si="1"/>
        <v xml:space="preserve">    - xform/𝌔/⚊⚋⚋𝌀/</v>
      </c>
    </row>
    <row r="80" spans="1:13">
      <c r="A80" t="s">
        <v>558</v>
      </c>
      <c r="B80">
        <v>119573</v>
      </c>
      <c r="C80">
        <v>100</v>
      </c>
      <c r="D80">
        <v>16</v>
      </c>
      <c r="E80" t="s">
        <v>559</v>
      </c>
      <c r="G80" t="s">
        <v>560</v>
      </c>
      <c r="I80" t="s">
        <v>561</v>
      </c>
      <c r="J80" t="s">
        <v>562</v>
      </c>
      <c r="K80" t="s">
        <v>966</v>
      </c>
      <c r="M80" t="str">
        <f t="shared" si="1"/>
        <v xml:space="preserve">    - xform/𝌕/⚊⚋𝌀⚊/</v>
      </c>
    </row>
    <row r="81" spans="1:13">
      <c r="A81" t="s">
        <v>563</v>
      </c>
      <c r="B81">
        <v>119574</v>
      </c>
      <c r="C81">
        <v>101</v>
      </c>
      <c r="D81">
        <v>17</v>
      </c>
      <c r="E81" t="s">
        <v>564</v>
      </c>
      <c r="G81" t="s">
        <v>565</v>
      </c>
      <c r="I81" t="s">
        <v>566</v>
      </c>
      <c r="J81" t="s">
        <v>567</v>
      </c>
      <c r="K81" t="s">
        <v>967</v>
      </c>
      <c r="M81" t="str">
        <f t="shared" si="1"/>
        <v xml:space="preserve">    - xform/𝌖/⚊⚋𝌀⚋/</v>
      </c>
    </row>
    <row r="82" spans="1:13">
      <c r="A82" t="s">
        <v>568</v>
      </c>
      <c r="B82">
        <v>119575</v>
      </c>
      <c r="C82">
        <v>102</v>
      </c>
      <c r="D82">
        <v>18</v>
      </c>
      <c r="E82" t="s">
        <v>569</v>
      </c>
      <c r="G82" t="s">
        <v>570</v>
      </c>
      <c r="I82" t="s">
        <v>571</v>
      </c>
      <c r="J82" t="s">
        <v>572</v>
      </c>
      <c r="K82" t="s">
        <v>968</v>
      </c>
      <c r="M82" t="str">
        <f t="shared" si="1"/>
        <v xml:space="preserve">    - xform/𝌗/⚊⚋𝌀𝌀/</v>
      </c>
    </row>
    <row r="83" spans="1:13">
      <c r="A83" t="s">
        <v>573</v>
      </c>
      <c r="B83">
        <v>119576</v>
      </c>
      <c r="C83">
        <v>103</v>
      </c>
      <c r="D83">
        <v>19</v>
      </c>
      <c r="E83" t="s">
        <v>574</v>
      </c>
      <c r="G83" t="s">
        <v>575</v>
      </c>
      <c r="I83" t="s">
        <v>576</v>
      </c>
      <c r="J83" t="s">
        <v>577</v>
      </c>
      <c r="K83" t="s">
        <v>969</v>
      </c>
      <c r="M83" t="str">
        <f t="shared" si="1"/>
        <v xml:space="preserve">    - xform/𝌘/⚊𝌀⚊⚊/</v>
      </c>
    </row>
    <row r="84" spans="1:13">
      <c r="A84" t="s">
        <v>578</v>
      </c>
      <c r="B84">
        <v>119577</v>
      </c>
      <c r="C84">
        <v>104</v>
      </c>
      <c r="D84">
        <v>20</v>
      </c>
      <c r="E84" t="s">
        <v>579</v>
      </c>
      <c r="G84" t="s">
        <v>580</v>
      </c>
      <c r="I84" t="s">
        <v>581</v>
      </c>
      <c r="J84" t="s">
        <v>582</v>
      </c>
      <c r="K84" t="s">
        <v>970</v>
      </c>
      <c r="M84" t="str">
        <f t="shared" si="1"/>
        <v xml:space="preserve">    - xform/𝌙/⚊𝌀⚊⚋/</v>
      </c>
    </row>
    <row r="85" spans="1:13">
      <c r="A85" t="s">
        <v>583</v>
      </c>
      <c r="B85">
        <v>119578</v>
      </c>
      <c r="C85">
        <v>105</v>
      </c>
      <c r="D85">
        <v>21</v>
      </c>
      <c r="E85" t="s">
        <v>584</v>
      </c>
      <c r="G85" t="s">
        <v>585</v>
      </c>
      <c r="I85" t="s">
        <v>586</v>
      </c>
      <c r="J85" t="s">
        <v>587</v>
      </c>
      <c r="K85" t="s">
        <v>971</v>
      </c>
      <c r="M85" t="str">
        <f t="shared" si="1"/>
        <v xml:space="preserve">    - xform/𝌚/⚊𝌀⚊𝌀/</v>
      </c>
    </row>
    <row r="86" spans="1:13">
      <c r="A86" t="s">
        <v>588</v>
      </c>
      <c r="B86">
        <v>119579</v>
      </c>
      <c r="C86">
        <v>106</v>
      </c>
      <c r="D86">
        <v>22</v>
      </c>
      <c r="E86" t="s">
        <v>589</v>
      </c>
      <c r="G86" t="s">
        <v>590</v>
      </c>
      <c r="I86" t="s">
        <v>591</v>
      </c>
      <c r="J86" t="s">
        <v>592</v>
      </c>
      <c r="K86" t="s">
        <v>972</v>
      </c>
      <c r="M86" t="str">
        <f t="shared" si="1"/>
        <v xml:space="preserve">    - xform/𝌛/⚊𝌀⚋⚊/</v>
      </c>
    </row>
    <row r="87" spans="1:13">
      <c r="A87" t="s">
        <v>593</v>
      </c>
      <c r="B87">
        <v>119580</v>
      </c>
      <c r="C87">
        <v>107</v>
      </c>
      <c r="D87">
        <v>23</v>
      </c>
      <c r="E87" t="s">
        <v>594</v>
      </c>
      <c r="G87" t="s">
        <v>595</v>
      </c>
      <c r="I87" t="s">
        <v>596</v>
      </c>
      <c r="J87" t="s">
        <v>597</v>
      </c>
      <c r="K87" t="s">
        <v>973</v>
      </c>
      <c r="M87" t="str">
        <f t="shared" si="1"/>
        <v xml:space="preserve">    - xform/𝌜/⚊𝌀⚋⚋/</v>
      </c>
    </row>
    <row r="88" spans="1:13">
      <c r="A88" t="s">
        <v>598</v>
      </c>
      <c r="B88">
        <v>119581</v>
      </c>
      <c r="C88">
        <v>108</v>
      </c>
      <c r="D88">
        <v>24</v>
      </c>
      <c r="E88" t="s">
        <v>599</v>
      </c>
      <c r="G88" t="s">
        <v>600</v>
      </c>
      <c r="I88" t="s">
        <v>601</v>
      </c>
      <c r="J88" t="s">
        <v>602</v>
      </c>
      <c r="K88" t="s">
        <v>974</v>
      </c>
      <c r="M88" t="str">
        <f t="shared" si="1"/>
        <v xml:space="preserve">    - xform/𝌝/⚊𝌀⚋𝌀/</v>
      </c>
    </row>
    <row r="89" spans="1:13">
      <c r="A89" t="s">
        <v>603</v>
      </c>
      <c r="B89">
        <v>119582</v>
      </c>
      <c r="C89">
        <v>109</v>
      </c>
      <c r="D89">
        <v>25</v>
      </c>
      <c r="E89" t="s">
        <v>604</v>
      </c>
      <c r="G89" t="s">
        <v>605</v>
      </c>
      <c r="I89" t="s">
        <v>606</v>
      </c>
      <c r="J89" t="s">
        <v>607</v>
      </c>
      <c r="K89" t="s">
        <v>975</v>
      </c>
      <c r="M89" t="str">
        <f t="shared" si="1"/>
        <v xml:space="preserve">    - xform/𝌞/⚊𝌀𝌀⚊/</v>
      </c>
    </row>
    <row r="90" spans="1:13">
      <c r="A90" t="s">
        <v>608</v>
      </c>
      <c r="B90">
        <v>119583</v>
      </c>
      <c r="C90">
        <v>110</v>
      </c>
      <c r="D90">
        <v>26</v>
      </c>
      <c r="E90" t="s">
        <v>609</v>
      </c>
      <c r="G90" t="s">
        <v>610</v>
      </c>
      <c r="I90" t="s">
        <v>611</v>
      </c>
      <c r="J90" t="s">
        <v>612</v>
      </c>
      <c r="K90" t="s">
        <v>976</v>
      </c>
      <c r="M90" t="str">
        <f t="shared" si="1"/>
        <v xml:space="preserve">    - xform/𝌟/⚊𝌀𝌀⚋/</v>
      </c>
    </row>
    <row r="91" spans="1:13">
      <c r="A91" t="s">
        <v>613</v>
      </c>
      <c r="B91">
        <v>119584</v>
      </c>
      <c r="C91">
        <v>111</v>
      </c>
      <c r="D91">
        <v>27</v>
      </c>
      <c r="E91" t="s">
        <v>614</v>
      </c>
      <c r="G91" t="s">
        <v>615</v>
      </c>
      <c r="I91" t="s">
        <v>616</v>
      </c>
      <c r="J91" t="s">
        <v>617</v>
      </c>
      <c r="K91" t="s">
        <v>977</v>
      </c>
      <c r="M91" t="str">
        <f t="shared" si="1"/>
        <v xml:space="preserve">    - xform/𝌠/⚊𝌀𝌀𝌀/</v>
      </c>
    </row>
    <row r="92" spans="1:13">
      <c r="A92" t="s">
        <v>618</v>
      </c>
      <c r="B92">
        <v>119585</v>
      </c>
      <c r="C92">
        <v>112</v>
      </c>
      <c r="D92">
        <v>28</v>
      </c>
      <c r="E92" t="s">
        <v>619</v>
      </c>
      <c r="G92" t="s">
        <v>620</v>
      </c>
      <c r="I92" t="s">
        <v>621</v>
      </c>
      <c r="J92" t="s">
        <v>622</v>
      </c>
      <c r="K92" t="s">
        <v>978</v>
      </c>
      <c r="M92" t="str">
        <f t="shared" si="1"/>
        <v xml:space="preserve">    - xform/𝌡/⚋⚊⚊⚊/</v>
      </c>
    </row>
    <row r="93" spans="1:13">
      <c r="A93" t="s">
        <v>623</v>
      </c>
      <c r="B93">
        <v>119586</v>
      </c>
      <c r="C93">
        <v>113</v>
      </c>
      <c r="D93">
        <v>29</v>
      </c>
      <c r="E93" t="s">
        <v>624</v>
      </c>
      <c r="G93" t="s">
        <v>625</v>
      </c>
      <c r="I93" t="s">
        <v>626</v>
      </c>
      <c r="J93" t="s">
        <v>627</v>
      </c>
      <c r="K93" t="s">
        <v>979</v>
      </c>
      <c r="M93" t="str">
        <f t="shared" si="1"/>
        <v xml:space="preserve">    - xform/𝌢/⚋⚊⚊⚋/</v>
      </c>
    </row>
    <row r="94" spans="1:13">
      <c r="A94" t="s">
        <v>628</v>
      </c>
      <c r="B94">
        <v>119587</v>
      </c>
      <c r="C94">
        <v>114</v>
      </c>
      <c r="D94">
        <v>30</v>
      </c>
      <c r="E94" t="s">
        <v>629</v>
      </c>
      <c r="G94" t="s">
        <v>630</v>
      </c>
      <c r="I94" t="s">
        <v>631</v>
      </c>
      <c r="J94" t="s">
        <v>632</v>
      </c>
      <c r="K94" t="s">
        <v>980</v>
      </c>
      <c r="M94" t="str">
        <f t="shared" si="1"/>
        <v xml:space="preserve">    - xform/𝌣/⚋⚊⚊𝌀/</v>
      </c>
    </row>
    <row r="95" spans="1:13">
      <c r="A95" t="s">
        <v>633</v>
      </c>
      <c r="B95">
        <v>119588</v>
      </c>
      <c r="C95">
        <v>115</v>
      </c>
      <c r="D95">
        <v>31</v>
      </c>
      <c r="E95" t="s">
        <v>634</v>
      </c>
      <c r="G95" t="s">
        <v>635</v>
      </c>
      <c r="I95" t="s">
        <v>636</v>
      </c>
      <c r="J95" t="s">
        <v>637</v>
      </c>
      <c r="K95" t="s">
        <v>981</v>
      </c>
      <c r="M95" t="str">
        <f t="shared" si="1"/>
        <v xml:space="preserve">    - xform/𝌤/⚋⚊⚋⚊/</v>
      </c>
    </row>
    <row r="96" spans="1:13">
      <c r="A96" t="s">
        <v>638</v>
      </c>
      <c r="B96">
        <v>119589</v>
      </c>
      <c r="C96">
        <v>116</v>
      </c>
      <c r="D96">
        <v>32</v>
      </c>
      <c r="E96" t="s">
        <v>639</v>
      </c>
      <c r="G96" t="s">
        <v>640</v>
      </c>
      <c r="I96" t="s">
        <v>641</v>
      </c>
      <c r="J96" t="s">
        <v>642</v>
      </c>
      <c r="K96" t="s">
        <v>982</v>
      </c>
      <c r="M96" t="str">
        <f t="shared" si="1"/>
        <v xml:space="preserve">    - xform/𝌥/⚋⚊⚋⚋/</v>
      </c>
    </row>
    <row r="97" spans="1:13">
      <c r="A97" t="s">
        <v>643</v>
      </c>
      <c r="B97">
        <v>119590</v>
      </c>
      <c r="C97">
        <v>117</v>
      </c>
      <c r="D97">
        <v>33</v>
      </c>
      <c r="E97" t="s">
        <v>644</v>
      </c>
      <c r="G97" t="s">
        <v>645</v>
      </c>
      <c r="I97" t="s">
        <v>646</v>
      </c>
      <c r="J97" t="s">
        <v>647</v>
      </c>
      <c r="K97" t="s">
        <v>983</v>
      </c>
      <c r="M97" t="str">
        <f t="shared" si="1"/>
        <v xml:space="preserve">    - xform/𝌦/⚋⚊⚋𝌀/</v>
      </c>
    </row>
    <row r="98" spans="1:13">
      <c r="A98" t="s">
        <v>648</v>
      </c>
      <c r="B98">
        <v>119591</v>
      </c>
      <c r="C98">
        <v>118</v>
      </c>
      <c r="D98">
        <v>34</v>
      </c>
      <c r="E98" t="s">
        <v>649</v>
      </c>
      <c r="G98" t="s">
        <v>650</v>
      </c>
      <c r="I98" t="s">
        <v>651</v>
      </c>
      <c r="J98" t="s">
        <v>652</v>
      </c>
      <c r="K98" t="s">
        <v>984</v>
      </c>
      <c r="M98" t="str">
        <f t="shared" si="1"/>
        <v xml:space="preserve">    - xform/𝌧/⚋⚊𝌀⚊/</v>
      </c>
    </row>
    <row r="99" spans="1:13">
      <c r="A99" t="s">
        <v>653</v>
      </c>
      <c r="B99">
        <v>119592</v>
      </c>
      <c r="C99">
        <v>119</v>
      </c>
      <c r="D99">
        <v>35</v>
      </c>
      <c r="E99" t="s">
        <v>654</v>
      </c>
      <c r="G99" t="s">
        <v>655</v>
      </c>
      <c r="I99" t="s">
        <v>656</v>
      </c>
      <c r="J99" t="s">
        <v>657</v>
      </c>
      <c r="K99" t="s">
        <v>985</v>
      </c>
      <c r="M99" t="str">
        <f t="shared" si="1"/>
        <v xml:space="preserve">    - xform/𝌨/⚋⚊𝌀⚋/</v>
      </c>
    </row>
    <row r="100" spans="1:13">
      <c r="A100" t="s">
        <v>658</v>
      </c>
      <c r="B100">
        <v>119593</v>
      </c>
      <c r="C100">
        <v>120</v>
      </c>
      <c r="D100">
        <v>36</v>
      </c>
      <c r="E100" t="s">
        <v>659</v>
      </c>
      <c r="G100" t="s">
        <v>660</v>
      </c>
      <c r="I100" t="s">
        <v>661</v>
      </c>
      <c r="J100" t="s">
        <v>662</v>
      </c>
      <c r="K100" t="s">
        <v>986</v>
      </c>
      <c r="M100" t="str">
        <f t="shared" si="1"/>
        <v xml:space="preserve">    - xform/𝌩/⚋⚊𝌀𝌀/</v>
      </c>
    </row>
    <row r="101" spans="1:13">
      <c r="A101" t="s">
        <v>663</v>
      </c>
      <c r="B101">
        <v>119594</v>
      </c>
      <c r="C101">
        <v>121</v>
      </c>
      <c r="D101">
        <v>37</v>
      </c>
      <c r="E101" t="s">
        <v>664</v>
      </c>
      <c r="G101" t="s">
        <v>665</v>
      </c>
      <c r="I101" t="s">
        <v>666</v>
      </c>
      <c r="J101" t="s">
        <v>667</v>
      </c>
      <c r="K101" t="s">
        <v>987</v>
      </c>
      <c r="M101" t="str">
        <f t="shared" si="1"/>
        <v xml:space="preserve">    - xform/𝌪/⚋⚋⚊⚊/</v>
      </c>
    </row>
    <row r="102" spans="1:13">
      <c r="A102" t="s">
        <v>668</v>
      </c>
      <c r="B102">
        <v>119595</v>
      </c>
      <c r="C102">
        <v>122</v>
      </c>
      <c r="D102">
        <v>38</v>
      </c>
      <c r="E102" t="s">
        <v>669</v>
      </c>
      <c r="G102" t="s">
        <v>670</v>
      </c>
      <c r="I102" t="s">
        <v>671</v>
      </c>
      <c r="J102" t="s">
        <v>672</v>
      </c>
      <c r="K102" t="s">
        <v>988</v>
      </c>
      <c r="M102" t="str">
        <f t="shared" si="1"/>
        <v xml:space="preserve">    - xform/𝌫/⚋⚋⚊⚋/</v>
      </c>
    </row>
    <row r="103" spans="1:13">
      <c r="A103" t="s">
        <v>673</v>
      </c>
      <c r="B103">
        <v>119596</v>
      </c>
      <c r="C103">
        <v>123</v>
      </c>
      <c r="D103">
        <v>39</v>
      </c>
      <c r="E103" t="s">
        <v>674</v>
      </c>
      <c r="G103" t="s">
        <v>675</v>
      </c>
      <c r="I103" t="s">
        <v>676</v>
      </c>
      <c r="J103" t="s">
        <v>677</v>
      </c>
      <c r="K103" t="s">
        <v>989</v>
      </c>
      <c r="M103" t="str">
        <f t="shared" si="1"/>
        <v xml:space="preserve">    - xform/𝌬/⚋⚋⚊𝌀/</v>
      </c>
    </row>
    <row r="104" spans="1:13">
      <c r="A104" t="s">
        <v>678</v>
      </c>
      <c r="B104">
        <v>119597</v>
      </c>
      <c r="C104">
        <v>124</v>
      </c>
      <c r="D104">
        <v>40</v>
      </c>
      <c r="E104" t="s">
        <v>679</v>
      </c>
      <c r="G104" t="s">
        <v>680</v>
      </c>
      <c r="I104" t="s">
        <v>681</v>
      </c>
      <c r="J104" t="s">
        <v>682</v>
      </c>
      <c r="K104" t="s">
        <v>990</v>
      </c>
      <c r="M104" t="str">
        <f t="shared" si="1"/>
        <v xml:space="preserve">    - xform/𝌭/⚋⚋⚋⚊/</v>
      </c>
    </row>
    <row r="105" spans="1:13">
      <c r="A105" t="s">
        <v>683</v>
      </c>
      <c r="B105">
        <v>119598</v>
      </c>
      <c r="C105">
        <v>125</v>
      </c>
      <c r="D105">
        <v>41</v>
      </c>
      <c r="E105" t="s">
        <v>684</v>
      </c>
      <c r="G105" t="s">
        <v>175</v>
      </c>
      <c r="I105" t="s">
        <v>685</v>
      </c>
      <c r="J105" t="s">
        <v>686</v>
      </c>
      <c r="K105" t="s">
        <v>991</v>
      </c>
      <c r="M105" t="str">
        <f t="shared" si="1"/>
        <v xml:space="preserve">    - xform/𝌮/⚋⚋⚋⚋/</v>
      </c>
    </row>
    <row r="106" spans="1:13">
      <c r="A106" t="s">
        <v>687</v>
      </c>
      <c r="B106">
        <v>119599</v>
      </c>
      <c r="C106">
        <v>126</v>
      </c>
      <c r="D106">
        <v>42</v>
      </c>
      <c r="E106" t="s">
        <v>688</v>
      </c>
      <c r="G106" t="s">
        <v>689</v>
      </c>
      <c r="I106" t="s">
        <v>690</v>
      </c>
      <c r="J106" t="s">
        <v>691</v>
      </c>
      <c r="K106" t="s">
        <v>992</v>
      </c>
      <c r="M106" t="str">
        <f t="shared" si="1"/>
        <v xml:space="preserve">    - xform/𝌯/⚋⚋⚋𝌀/</v>
      </c>
    </row>
    <row r="107" spans="1:13">
      <c r="A107" t="s">
        <v>692</v>
      </c>
      <c r="B107">
        <v>119600</v>
      </c>
      <c r="C107">
        <v>127</v>
      </c>
      <c r="D107">
        <v>43</v>
      </c>
      <c r="E107" t="s">
        <v>693</v>
      </c>
      <c r="G107" t="s">
        <v>694</v>
      </c>
      <c r="I107" t="s">
        <v>695</v>
      </c>
      <c r="J107" t="s">
        <v>696</v>
      </c>
      <c r="K107" t="s">
        <v>993</v>
      </c>
      <c r="M107" t="str">
        <f t="shared" si="1"/>
        <v xml:space="preserve">    - xform/𝌰/⚋⚋𝌀⚊/</v>
      </c>
    </row>
    <row r="108" spans="1:13">
      <c r="A108" t="s">
        <v>697</v>
      </c>
      <c r="B108">
        <v>119601</v>
      </c>
      <c r="C108">
        <v>128</v>
      </c>
      <c r="D108">
        <v>44</v>
      </c>
      <c r="E108" t="s">
        <v>698</v>
      </c>
      <c r="G108" t="s">
        <v>699</v>
      </c>
      <c r="I108" t="s">
        <v>700</v>
      </c>
      <c r="J108" t="s">
        <v>701</v>
      </c>
      <c r="K108" t="s">
        <v>994</v>
      </c>
      <c r="M108" t="str">
        <f t="shared" si="1"/>
        <v xml:space="preserve">    - xform/𝌱/⚋⚋𝌀⚋/</v>
      </c>
    </row>
    <row r="109" spans="1:13">
      <c r="A109" t="s">
        <v>702</v>
      </c>
      <c r="B109">
        <v>119602</v>
      </c>
      <c r="C109">
        <v>129</v>
      </c>
      <c r="D109">
        <v>45</v>
      </c>
      <c r="E109" t="s">
        <v>703</v>
      </c>
      <c r="G109" t="s">
        <v>704</v>
      </c>
      <c r="I109" t="s">
        <v>705</v>
      </c>
      <c r="J109" t="s">
        <v>706</v>
      </c>
      <c r="K109" t="s">
        <v>995</v>
      </c>
      <c r="M109" t="str">
        <f t="shared" si="1"/>
        <v xml:space="preserve">    - xform/𝌲/⚋⚋𝌀𝌀/</v>
      </c>
    </row>
    <row r="110" spans="1:13">
      <c r="A110" t="s">
        <v>707</v>
      </c>
      <c r="B110">
        <v>119603</v>
      </c>
      <c r="C110">
        <v>130</v>
      </c>
      <c r="D110">
        <v>46</v>
      </c>
      <c r="E110" t="s">
        <v>708</v>
      </c>
      <c r="G110" t="s">
        <v>709</v>
      </c>
      <c r="I110" t="s">
        <v>710</v>
      </c>
      <c r="J110" t="s">
        <v>711</v>
      </c>
      <c r="K110" t="s">
        <v>996</v>
      </c>
      <c r="M110" t="str">
        <f t="shared" si="1"/>
        <v xml:space="preserve">    - xform/𝌳/⚋𝌀⚊⚊/</v>
      </c>
    </row>
    <row r="111" spans="1:13">
      <c r="A111" t="s">
        <v>712</v>
      </c>
      <c r="B111">
        <v>119604</v>
      </c>
      <c r="C111">
        <v>131</v>
      </c>
      <c r="D111">
        <v>47</v>
      </c>
      <c r="E111" t="s">
        <v>713</v>
      </c>
      <c r="G111" t="s">
        <v>714</v>
      </c>
      <c r="I111" t="s">
        <v>715</v>
      </c>
      <c r="J111" t="s">
        <v>716</v>
      </c>
      <c r="K111" t="s">
        <v>997</v>
      </c>
      <c r="M111" t="str">
        <f t="shared" si="1"/>
        <v xml:space="preserve">    - xform/𝌴/⚋𝌀⚊⚋/</v>
      </c>
    </row>
    <row r="112" spans="1:13">
      <c r="A112" t="s">
        <v>717</v>
      </c>
      <c r="B112">
        <v>119605</v>
      </c>
      <c r="C112">
        <v>132</v>
      </c>
      <c r="D112">
        <v>48</v>
      </c>
      <c r="E112" t="s">
        <v>718</v>
      </c>
      <c r="G112" t="s">
        <v>719</v>
      </c>
      <c r="I112" t="s">
        <v>720</v>
      </c>
      <c r="J112" t="s">
        <v>721</v>
      </c>
      <c r="K112" t="s">
        <v>998</v>
      </c>
      <c r="M112" t="str">
        <f t="shared" si="1"/>
        <v xml:space="preserve">    - xform/𝌵/⚋𝌀⚊𝌀/</v>
      </c>
    </row>
    <row r="113" spans="1:13">
      <c r="A113" t="s">
        <v>722</v>
      </c>
      <c r="B113">
        <v>119606</v>
      </c>
      <c r="C113">
        <v>133</v>
      </c>
      <c r="D113">
        <v>49</v>
      </c>
      <c r="E113" t="s">
        <v>723</v>
      </c>
      <c r="G113" t="s">
        <v>724</v>
      </c>
      <c r="I113" t="s">
        <v>725</v>
      </c>
      <c r="J113" t="s">
        <v>726</v>
      </c>
      <c r="K113" t="s">
        <v>999</v>
      </c>
      <c r="M113" t="str">
        <f t="shared" si="1"/>
        <v xml:space="preserve">    - xform/𝌶/⚋𝌀⚋⚊/</v>
      </c>
    </row>
    <row r="114" spans="1:13">
      <c r="A114" t="s">
        <v>727</v>
      </c>
      <c r="B114">
        <v>119607</v>
      </c>
      <c r="C114">
        <v>134</v>
      </c>
      <c r="D114">
        <v>50</v>
      </c>
      <c r="E114" t="s">
        <v>728</v>
      </c>
      <c r="G114" t="s">
        <v>729</v>
      </c>
      <c r="I114" t="s">
        <v>730</v>
      </c>
      <c r="J114" t="s">
        <v>731</v>
      </c>
      <c r="K114" t="s">
        <v>1000</v>
      </c>
      <c r="M114" t="str">
        <f t="shared" si="1"/>
        <v xml:space="preserve">    - xform/𝌷/⚋𝌀⚋⚋/</v>
      </c>
    </row>
    <row r="115" spans="1:13">
      <c r="A115" t="s">
        <v>732</v>
      </c>
      <c r="B115">
        <v>119608</v>
      </c>
      <c r="C115">
        <v>135</v>
      </c>
      <c r="D115">
        <v>51</v>
      </c>
      <c r="E115" t="s">
        <v>733</v>
      </c>
      <c r="G115" t="s">
        <v>734</v>
      </c>
      <c r="I115" t="s">
        <v>735</v>
      </c>
      <c r="J115" t="s">
        <v>736</v>
      </c>
      <c r="K115" t="s">
        <v>1001</v>
      </c>
      <c r="M115" t="str">
        <f t="shared" si="1"/>
        <v xml:space="preserve">    - xform/𝌸/⚋𝌀⚋𝌀/</v>
      </c>
    </row>
    <row r="116" spans="1:13">
      <c r="A116" t="s">
        <v>737</v>
      </c>
      <c r="B116">
        <v>119609</v>
      </c>
      <c r="C116">
        <v>136</v>
      </c>
      <c r="D116">
        <v>52</v>
      </c>
      <c r="E116" t="s">
        <v>738</v>
      </c>
      <c r="G116" t="s">
        <v>739</v>
      </c>
      <c r="I116" t="s">
        <v>740</v>
      </c>
      <c r="J116" t="s">
        <v>741</v>
      </c>
      <c r="K116" t="s">
        <v>1002</v>
      </c>
      <c r="M116" t="str">
        <f t="shared" si="1"/>
        <v xml:space="preserve">    - xform/𝌹/⚋𝌀𝌀⚊/</v>
      </c>
    </row>
    <row r="117" spans="1:13">
      <c r="A117" t="s">
        <v>742</v>
      </c>
      <c r="B117">
        <v>119610</v>
      </c>
      <c r="C117">
        <v>137</v>
      </c>
      <c r="D117">
        <v>53</v>
      </c>
      <c r="E117" t="s">
        <v>743</v>
      </c>
      <c r="G117" t="s">
        <v>744</v>
      </c>
      <c r="I117" t="s">
        <v>745</v>
      </c>
      <c r="J117" t="s">
        <v>746</v>
      </c>
      <c r="K117" t="s">
        <v>1003</v>
      </c>
      <c r="M117" t="str">
        <f t="shared" si="1"/>
        <v xml:space="preserve">    - xform/𝌺/⚋𝌀𝌀⚋/</v>
      </c>
    </row>
    <row r="118" spans="1:13">
      <c r="A118" t="s">
        <v>747</v>
      </c>
      <c r="B118">
        <v>119611</v>
      </c>
      <c r="C118">
        <v>138</v>
      </c>
      <c r="D118">
        <v>54</v>
      </c>
      <c r="E118" t="s">
        <v>748</v>
      </c>
      <c r="G118" t="s">
        <v>749</v>
      </c>
      <c r="I118" t="s">
        <v>750</v>
      </c>
      <c r="J118" t="s">
        <v>751</v>
      </c>
      <c r="K118" t="s">
        <v>1004</v>
      </c>
      <c r="M118" t="str">
        <f t="shared" si="1"/>
        <v xml:space="preserve">    - xform/𝌻/⚋𝌀𝌀𝌀/</v>
      </c>
    </row>
    <row r="119" spans="1:13">
      <c r="A119" t="s">
        <v>752</v>
      </c>
      <c r="B119">
        <v>119612</v>
      </c>
      <c r="C119">
        <v>139</v>
      </c>
      <c r="D119">
        <v>55</v>
      </c>
      <c r="E119" t="s">
        <v>753</v>
      </c>
      <c r="G119" t="s">
        <v>754</v>
      </c>
      <c r="I119" t="s">
        <v>755</v>
      </c>
      <c r="J119" t="s">
        <v>756</v>
      </c>
      <c r="K119" t="s">
        <v>1005</v>
      </c>
      <c r="M119" t="str">
        <f t="shared" si="1"/>
        <v xml:space="preserve">    - xform/𝌼/𝌀⚊⚊⚊/</v>
      </c>
    </row>
    <row r="120" spans="1:13">
      <c r="A120" t="s">
        <v>757</v>
      </c>
      <c r="B120">
        <v>119613</v>
      </c>
      <c r="C120">
        <v>140</v>
      </c>
      <c r="D120">
        <v>56</v>
      </c>
      <c r="E120" t="s">
        <v>758</v>
      </c>
      <c r="G120" t="s">
        <v>759</v>
      </c>
      <c r="I120" t="s">
        <v>760</v>
      </c>
      <c r="J120" t="s">
        <v>761</v>
      </c>
      <c r="K120" t="s">
        <v>1006</v>
      </c>
      <c r="M120" t="str">
        <f t="shared" si="1"/>
        <v xml:space="preserve">    - xform/𝌽/𝌀⚊⚊⚋/</v>
      </c>
    </row>
    <row r="121" spans="1:13">
      <c r="A121" t="s">
        <v>762</v>
      </c>
      <c r="B121">
        <v>119614</v>
      </c>
      <c r="C121">
        <v>141</v>
      </c>
      <c r="D121">
        <v>57</v>
      </c>
      <c r="E121" t="s">
        <v>763</v>
      </c>
      <c r="G121" t="s">
        <v>764</v>
      </c>
      <c r="I121" t="s">
        <v>765</v>
      </c>
      <c r="J121" t="s">
        <v>766</v>
      </c>
      <c r="K121" t="s">
        <v>1007</v>
      </c>
      <c r="M121" t="str">
        <f t="shared" si="1"/>
        <v xml:space="preserve">    - xform/𝌾/𝌀⚊⚊𝌀/</v>
      </c>
    </row>
    <row r="122" spans="1:13">
      <c r="A122" t="s">
        <v>767</v>
      </c>
      <c r="B122">
        <v>119615</v>
      </c>
      <c r="C122">
        <v>142</v>
      </c>
      <c r="D122">
        <v>58</v>
      </c>
      <c r="E122" t="s">
        <v>768</v>
      </c>
      <c r="G122" t="s">
        <v>769</v>
      </c>
      <c r="I122" t="s">
        <v>770</v>
      </c>
      <c r="J122" t="s">
        <v>771</v>
      </c>
      <c r="K122" t="s">
        <v>1008</v>
      </c>
      <c r="M122" t="str">
        <f t="shared" si="1"/>
        <v xml:space="preserve">    - xform/𝌿/𝌀⚊⚋⚊/</v>
      </c>
    </row>
    <row r="123" spans="1:13">
      <c r="A123" t="s">
        <v>772</v>
      </c>
      <c r="B123">
        <v>119616</v>
      </c>
      <c r="C123">
        <v>143</v>
      </c>
      <c r="D123">
        <v>59</v>
      </c>
      <c r="E123" t="s">
        <v>773</v>
      </c>
      <c r="G123" t="s">
        <v>774</v>
      </c>
      <c r="I123" t="s">
        <v>775</v>
      </c>
      <c r="J123" t="s">
        <v>776</v>
      </c>
      <c r="K123" t="s">
        <v>1009</v>
      </c>
      <c r="M123" t="str">
        <f t="shared" si="1"/>
        <v xml:space="preserve">    - xform/𝍀/𝌀⚊⚋⚋/</v>
      </c>
    </row>
    <row r="124" spans="1:13">
      <c r="A124" t="s">
        <v>777</v>
      </c>
      <c r="B124">
        <v>119617</v>
      </c>
      <c r="C124">
        <v>144</v>
      </c>
      <c r="D124">
        <v>60</v>
      </c>
      <c r="E124" t="s">
        <v>778</v>
      </c>
      <c r="G124" t="s">
        <v>779</v>
      </c>
      <c r="I124" t="s">
        <v>780</v>
      </c>
      <c r="J124" t="s">
        <v>781</v>
      </c>
      <c r="K124" t="s">
        <v>1010</v>
      </c>
      <c r="M124" t="str">
        <f t="shared" si="1"/>
        <v xml:space="preserve">    - xform/𝍁/𝌀⚊⚋𝌀/</v>
      </c>
    </row>
    <row r="125" spans="1:13">
      <c r="A125" t="s">
        <v>782</v>
      </c>
      <c r="B125">
        <v>119618</v>
      </c>
      <c r="C125">
        <v>145</v>
      </c>
      <c r="D125">
        <v>61</v>
      </c>
      <c r="E125" t="s">
        <v>783</v>
      </c>
      <c r="G125" t="s">
        <v>784</v>
      </c>
      <c r="I125" t="s">
        <v>785</v>
      </c>
      <c r="J125" t="s">
        <v>786</v>
      </c>
      <c r="K125" t="s">
        <v>1011</v>
      </c>
      <c r="M125" t="str">
        <f t="shared" si="1"/>
        <v xml:space="preserve">    - xform/𝍂/𝌀⚊𝌀⚊/</v>
      </c>
    </row>
    <row r="126" spans="1:13">
      <c r="A126" t="s">
        <v>787</v>
      </c>
      <c r="B126">
        <v>119619</v>
      </c>
      <c r="C126">
        <v>146</v>
      </c>
      <c r="D126">
        <v>62</v>
      </c>
      <c r="E126" t="s">
        <v>788</v>
      </c>
      <c r="G126" t="s">
        <v>789</v>
      </c>
      <c r="I126" t="s">
        <v>790</v>
      </c>
      <c r="J126" t="s">
        <v>791</v>
      </c>
      <c r="K126" t="s">
        <v>1012</v>
      </c>
      <c r="M126" t="str">
        <f t="shared" si="1"/>
        <v xml:space="preserve">    - xform/𝍃/𝌀⚊𝌀⚋/</v>
      </c>
    </row>
    <row r="127" spans="1:13">
      <c r="A127" t="s">
        <v>792</v>
      </c>
      <c r="B127">
        <v>119620</v>
      </c>
      <c r="C127">
        <v>147</v>
      </c>
      <c r="D127">
        <v>63</v>
      </c>
      <c r="E127" t="s">
        <v>793</v>
      </c>
      <c r="G127" t="s">
        <v>794</v>
      </c>
      <c r="I127" t="s">
        <v>795</v>
      </c>
      <c r="J127" t="s">
        <v>796</v>
      </c>
      <c r="K127" t="s">
        <v>1013</v>
      </c>
      <c r="M127" t="str">
        <f t="shared" si="1"/>
        <v xml:space="preserve">    - xform/𝍄/𝌀⚊𝌀𝌀/</v>
      </c>
    </row>
    <row r="128" spans="1:13">
      <c r="A128" t="s">
        <v>797</v>
      </c>
      <c r="B128">
        <v>119621</v>
      </c>
      <c r="C128">
        <v>148</v>
      </c>
      <c r="D128">
        <v>64</v>
      </c>
      <c r="E128" t="s">
        <v>798</v>
      </c>
      <c r="G128" t="s">
        <v>799</v>
      </c>
      <c r="I128" t="s">
        <v>800</v>
      </c>
      <c r="J128" t="s">
        <v>801</v>
      </c>
      <c r="K128" t="s">
        <v>1014</v>
      </c>
      <c r="M128" t="str">
        <f t="shared" si="1"/>
        <v xml:space="preserve">    - xform/𝍅/𝌀⚋⚊⚊/</v>
      </c>
    </row>
    <row r="129" spans="1:13">
      <c r="A129" t="s">
        <v>802</v>
      </c>
      <c r="B129">
        <v>119622</v>
      </c>
      <c r="C129">
        <v>149</v>
      </c>
      <c r="D129">
        <v>65</v>
      </c>
      <c r="E129" t="s">
        <v>803</v>
      </c>
      <c r="G129" t="s">
        <v>804</v>
      </c>
      <c r="I129" t="s">
        <v>805</v>
      </c>
      <c r="J129" t="s">
        <v>806</v>
      </c>
      <c r="K129" t="s">
        <v>1015</v>
      </c>
      <c r="M129" t="str">
        <f t="shared" si="1"/>
        <v xml:space="preserve">    - xform/𝍆/𝌀⚋⚊⚋/</v>
      </c>
    </row>
    <row r="130" spans="1:13">
      <c r="A130" t="s">
        <v>807</v>
      </c>
      <c r="B130">
        <v>119623</v>
      </c>
      <c r="C130">
        <v>150</v>
      </c>
      <c r="D130">
        <v>66</v>
      </c>
      <c r="E130" t="s">
        <v>808</v>
      </c>
      <c r="G130" t="s">
        <v>809</v>
      </c>
      <c r="I130" t="s">
        <v>810</v>
      </c>
      <c r="J130" t="s">
        <v>811</v>
      </c>
      <c r="K130" t="s">
        <v>1016</v>
      </c>
      <c r="M130" t="str">
        <f t="shared" ref="M130:M145" si="2">"    - xform/"&amp;$E130&amp;"/"&amp;$K130&amp;"/"</f>
        <v xml:space="preserve">    - xform/𝍇/𝌀⚋⚊𝌀/</v>
      </c>
    </row>
    <row r="131" spans="1:13">
      <c r="A131" t="s">
        <v>812</v>
      </c>
      <c r="B131">
        <v>119624</v>
      </c>
      <c r="C131">
        <v>151</v>
      </c>
      <c r="D131">
        <v>67</v>
      </c>
      <c r="E131" t="s">
        <v>813</v>
      </c>
      <c r="G131" t="s">
        <v>814</v>
      </c>
      <c r="I131" t="s">
        <v>815</v>
      </c>
      <c r="J131" t="s">
        <v>816</v>
      </c>
      <c r="K131" t="s">
        <v>1017</v>
      </c>
      <c r="M131" t="str">
        <f t="shared" si="2"/>
        <v xml:space="preserve">    - xform/𝍈/𝌀⚋⚋⚊/</v>
      </c>
    </row>
    <row r="132" spans="1:13">
      <c r="A132" t="s">
        <v>817</v>
      </c>
      <c r="B132">
        <v>119625</v>
      </c>
      <c r="C132">
        <v>152</v>
      </c>
      <c r="D132">
        <v>68</v>
      </c>
      <c r="E132" t="s">
        <v>818</v>
      </c>
      <c r="G132" t="s">
        <v>819</v>
      </c>
      <c r="I132" t="s">
        <v>820</v>
      </c>
      <c r="J132" t="s">
        <v>821</v>
      </c>
      <c r="K132" t="s">
        <v>1018</v>
      </c>
      <c r="M132" t="str">
        <f t="shared" si="2"/>
        <v xml:space="preserve">    - xform/𝍉/𝌀⚋⚋⚋/</v>
      </c>
    </row>
    <row r="133" spans="1:13">
      <c r="A133" t="s">
        <v>822</v>
      </c>
      <c r="B133">
        <v>119626</v>
      </c>
      <c r="C133">
        <v>153</v>
      </c>
      <c r="D133">
        <v>69</v>
      </c>
      <c r="E133" t="s">
        <v>823</v>
      </c>
      <c r="G133" t="s">
        <v>824</v>
      </c>
      <c r="I133" t="s">
        <v>825</v>
      </c>
      <c r="J133" t="s">
        <v>826</v>
      </c>
      <c r="K133" t="s">
        <v>1019</v>
      </c>
      <c r="M133" t="str">
        <f t="shared" si="2"/>
        <v xml:space="preserve">    - xform/𝍊/𝌀⚋⚋𝌀/</v>
      </c>
    </row>
    <row r="134" spans="1:13">
      <c r="A134" t="s">
        <v>827</v>
      </c>
      <c r="B134">
        <v>119627</v>
      </c>
      <c r="C134">
        <v>154</v>
      </c>
      <c r="D134">
        <v>70</v>
      </c>
      <c r="E134" t="s">
        <v>828</v>
      </c>
      <c r="G134" t="s">
        <v>829</v>
      </c>
      <c r="I134" t="s">
        <v>830</v>
      </c>
      <c r="J134" t="s">
        <v>831</v>
      </c>
      <c r="K134" t="s">
        <v>1020</v>
      </c>
      <c r="M134" t="str">
        <f t="shared" si="2"/>
        <v xml:space="preserve">    - xform/𝍋/𝌀⚋𝌀⚊/</v>
      </c>
    </row>
    <row r="135" spans="1:13">
      <c r="A135" t="s">
        <v>832</v>
      </c>
      <c r="B135">
        <v>119628</v>
      </c>
      <c r="C135">
        <v>155</v>
      </c>
      <c r="D135">
        <v>71</v>
      </c>
      <c r="E135" t="s">
        <v>833</v>
      </c>
      <c r="G135" t="s">
        <v>834</v>
      </c>
      <c r="I135" t="s">
        <v>835</v>
      </c>
      <c r="J135" t="s">
        <v>836</v>
      </c>
      <c r="K135" t="s">
        <v>1021</v>
      </c>
      <c r="M135" t="str">
        <f t="shared" si="2"/>
        <v xml:space="preserve">    - xform/𝍌/𝌀⚋𝌀⚋/</v>
      </c>
    </row>
    <row r="136" spans="1:13">
      <c r="A136" t="s">
        <v>837</v>
      </c>
      <c r="B136">
        <v>119629</v>
      </c>
      <c r="C136">
        <v>156</v>
      </c>
      <c r="D136">
        <v>72</v>
      </c>
      <c r="E136" t="s">
        <v>838</v>
      </c>
      <c r="G136" t="s">
        <v>839</v>
      </c>
      <c r="I136" t="s">
        <v>840</v>
      </c>
      <c r="J136" t="s">
        <v>841</v>
      </c>
      <c r="K136" t="s">
        <v>1022</v>
      </c>
      <c r="M136" t="str">
        <f t="shared" si="2"/>
        <v xml:space="preserve">    - xform/𝍍/𝌀⚋𝌀𝌀/</v>
      </c>
    </row>
    <row r="137" spans="1:13">
      <c r="A137" t="s">
        <v>842</v>
      </c>
      <c r="B137">
        <v>119630</v>
      </c>
      <c r="C137">
        <v>157</v>
      </c>
      <c r="D137">
        <v>73</v>
      </c>
      <c r="E137" t="s">
        <v>843</v>
      </c>
      <c r="G137" t="s">
        <v>844</v>
      </c>
      <c r="I137" t="s">
        <v>845</v>
      </c>
      <c r="J137" t="s">
        <v>846</v>
      </c>
      <c r="K137" t="s">
        <v>1023</v>
      </c>
      <c r="M137" t="str">
        <f t="shared" si="2"/>
        <v xml:space="preserve">    - xform/𝍎/𝌀𝌀⚊⚊/</v>
      </c>
    </row>
    <row r="138" spans="1:13">
      <c r="A138" t="s">
        <v>847</v>
      </c>
      <c r="B138">
        <v>119631</v>
      </c>
      <c r="C138">
        <v>158</v>
      </c>
      <c r="D138">
        <v>74</v>
      </c>
      <c r="E138" t="s">
        <v>848</v>
      </c>
      <c r="G138" t="s">
        <v>849</v>
      </c>
      <c r="I138" t="s">
        <v>850</v>
      </c>
      <c r="J138" t="s">
        <v>851</v>
      </c>
      <c r="K138" t="s">
        <v>1024</v>
      </c>
      <c r="M138" t="str">
        <f t="shared" si="2"/>
        <v xml:space="preserve">    - xform/𝍏/𝌀𝌀⚊⚋/</v>
      </c>
    </row>
    <row r="139" spans="1:13">
      <c r="A139" t="s">
        <v>852</v>
      </c>
      <c r="B139">
        <v>119632</v>
      </c>
      <c r="C139">
        <v>159</v>
      </c>
      <c r="D139">
        <v>75</v>
      </c>
      <c r="E139" t="s">
        <v>853</v>
      </c>
      <c r="G139" t="s">
        <v>854</v>
      </c>
      <c r="I139" t="s">
        <v>855</v>
      </c>
      <c r="J139" t="s">
        <v>856</v>
      </c>
      <c r="K139" t="s">
        <v>1025</v>
      </c>
      <c r="M139" t="str">
        <f t="shared" si="2"/>
        <v xml:space="preserve">    - xform/𝍐/𝌀𝌀⚊𝌀/</v>
      </c>
    </row>
    <row r="140" spans="1:13">
      <c r="A140" t="s">
        <v>857</v>
      </c>
      <c r="B140">
        <v>119633</v>
      </c>
      <c r="C140">
        <v>160</v>
      </c>
      <c r="D140">
        <v>76</v>
      </c>
      <c r="E140" t="s">
        <v>858</v>
      </c>
      <c r="G140" t="s">
        <v>859</v>
      </c>
      <c r="I140" t="s">
        <v>860</v>
      </c>
      <c r="J140" t="s">
        <v>861</v>
      </c>
      <c r="K140" t="s">
        <v>1026</v>
      </c>
      <c r="M140" t="str">
        <f t="shared" si="2"/>
        <v xml:space="preserve">    - xform/𝍑/𝌀𝌀⚋⚊/</v>
      </c>
    </row>
    <row r="141" spans="1:13">
      <c r="A141" t="s">
        <v>862</v>
      </c>
      <c r="B141">
        <v>119634</v>
      </c>
      <c r="C141">
        <v>161</v>
      </c>
      <c r="D141">
        <v>77</v>
      </c>
      <c r="E141" t="s">
        <v>863</v>
      </c>
      <c r="G141" t="s">
        <v>864</v>
      </c>
      <c r="I141" t="s">
        <v>865</v>
      </c>
      <c r="J141" t="s">
        <v>866</v>
      </c>
      <c r="K141" t="s">
        <v>1027</v>
      </c>
      <c r="M141" t="str">
        <f t="shared" si="2"/>
        <v xml:space="preserve">    - xform/𝍒/𝌀𝌀⚋⚋/</v>
      </c>
    </row>
    <row r="142" spans="1:13">
      <c r="A142" t="s">
        <v>867</v>
      </c>
      <c r="B142">
        <v>119635</v>
      </c>
      <c r="C142">
        <v>162</v>
      </c>
      <c r="D142">
        <v>78</v>
      </c>
      <c r="E142" t="s">
        <v>868</v>
      </c>
      <c r="G142" t="s">
        <v>869</v>
      </c>
      <c r="I142" t="s">
        <v>870</v>
      </c>
      <c r="J142" t="s">
        <v>871</v>
      </c>
      <c r="K142" t="s">
        <v>1028</v>
      </c>
      <c r="M142" t="str">
        <f t="shared" si="2"/>
        <v xml:space="preserve">    - xform/𝍓/𝌀𝌀⚋𝌀/</v>
      </c>
    </row>
    <row r="143" spans="1:13">
      <c r="A143" t="s">
        <v>872</v>
      </c>
      <c r="B143">
        <v>119636</v>
      </c>
      <c r="C143">
        <v>163</v>
      </c>
      <c r="D143">
        <v>79</v>
      </c>
      <c r="E143" t="s">
        <v>873</v>
      </c>
      <c r="G143" t="s">
        <v>874</v>
      </c>
      <c r="I143" t="s">
        <v>875</v>
      </c>
      <c r="J143" t="s">
        <v>876</v>
      </c>
      <c r="K143" t="s">
        <v>1029</v>
      </c>
      <c r="M143" t="str">
        <f t="shared" si="2"/>
        <v xml:space="preserve">    - xform/𝍔/𝌀𝌀𝌀⚊/</v>
      </c>
    </row>
    <row r="144" spans="1:13">
      <c r="A144" t="s">
        <v>877</v>
      </c>
      <c r="B144">
        <v>119637</v>
      </c>
      <c r="C144">
        <v>164</v>
      </c>
      <c r="D144">
        <v>80</v>
      </c>
      <c r="E144" t="s">
        <v>878</v>
      </c>
      <c r="G144" t="s">
        <v>879</v>
      </c>
      <c r="I144" t="s">
        <v>880</v>
      </c>
      <c r="J144" t="s">
        <v>881</v>
      </c>
      <c r="K144" t="s">
        <v>1030</v>
      </c>
      <c r="M144" t="str">
        <f t="shared" si="2"/>
        <v xml:space="preserve">    - xform/𝍕/𝌀𝌀𝌀⚋/</v>
      </c>
    </row>
    <row r="145" spans="1:13">
      <c r="A145" t="s">
        <v>882</v>
      </c>
      <c r="B145">
        <v>119638</v>
      </c>
      <c r="C145">
        <v>165</v>
      </c>
      <c r="D145">
        <v>81</v>
      </c>
      <c r="E145" t="s">
        <v>883</v>
      </c>
      <c r="G145" t="s">
        <v>884</v>
      </c>
      <c r="I145" t="s">
        <v>885</v>
      </c>
      <c r="J145" t="s">
        <v>886</v>
      </c>
      <c r="K145" t="s">
        <v>1031</v>
      </c>
      <c r="M145" t="str">
        <f t="shared" si="2"/>
        <v xml:space="preserve">    - xform/𝍖/𝌀𝌀𝌀𝌀/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784B-C5E5-4435-9B72-FD17E1BBA74E}">
  <dimension ref="A1:U23"/>
  <sheetViews>
    <sheetView tabSelected="1" workbookViewId="0">
      <selection activeCell="L17" sqref="L1:L17"/>
    </sheetView>
  </sheetViews>
  <sheetFormatPr defaultRowHeight="16.2"/>
  <cols>
    <col min="12" max="12" width="8.88671875" customWidth="1"/>
  </cols>
  <sheetData>
    <row r="1" spans="1:21" ht="19.2">
      <c r="A1" t="s">
        <v>177</v>
      </c>
      <c r="B1">
        <v>9776</v>
      </c>
      <c r="C1">
        <v>1</v>
      </c>
      <c r="D1">
        <v>1</v>
      </c>
      <c r="E1" s="2" t="s">
        <v>1115</v>
      </c>
      <c r="F1" t="s">
        <v>179</v>
      </c>
      <c r="I1">
        <v>111</v>
      </c>
      <c r="J1" t="s">
        <v>180</v>
      </c>
      <c r="K1" t="s">
        <v>1032</v>
      </c>
      <c r="L1" t="str">
        <f>"    - xform/"&amp;$E1&amp;"/"&amp;$K1&amp;"/"</f>
        <v xml:space="preserve">    - xform/☰/⚊⚊⚊/</v>
      </c>
      <c r="M1" t="str">
        <f>"    - derive/"&amp;$K1&amp;"/"&amp;$E1&amp;"/"</f>
        <v xml:space="preserve">    - derive/⚊⚊⚊/☰/</v>
      </c>
      <c r="O1">
        <f t="shared" ref="O1:O8" si="0">(S1+0.1)*T1*(U1-0.1)</f>
        <v>26.970000000000002</v>
      </c>
      <c r="P1" t="str">
        <f>LEFT(I1,1)</f>
        <v>1</v>
      </c>
      <c r="Q1" t="str">
        <f>MID(I1,2,1)</f>
        <v>1</v>
      </c>
      <c r="R1" t="str">
        <f>RIGHT(I1,1)</f>
        <v>1</v>
      </c>
      <c r="S1">
        <f>IF(P1="1",3,5)</f>
        <v>3</v>
      </c>
      <c r="T1">
        <f t="shared" ref="T1:U1" si="1">IF(Q1="1",3,5)</f>
        <v>3</v>
      </c>
      <c r="U1">
        <f t="shared" si="1"/>
        <v>3</v>
      </c>
    </row>
    <row r="2" spans="1:21">
      <c r="A2" t="s">
        <v>181</v>
      </c>
      <c r="B2">
        <v>9777</v>
      </c>
      <c r="C2">
        <v>2</v>
      </c>
      <c r="D2">
        <v>2</v>
      </c>
      <c r="E2" t="s">
        <v>182</v>
      </c>
      <c r="F2" t="s">
        <v>183</v>
      </c>
      <c r="I2">
        <v>211</v>
      </c>
      <c r="J2" t="s">
        <v>184</v>
      </c>
      <c r="K2" t="s">
        <v>1033</v>
      </c>
      <c r="L2" t="str">
        <f t="shared" ref="L2:L17" si="2">"    - xform/"&amp;$E2&amp;"/"&amp;$K2&amp;"/"</f>
        <v xml:space="preserve">    - xform/☱/⚋⚊⚊/</v>
      </c>
      <c r="M2" t="str">
        <f t="shared" ref="M2:M17" si="3">"    - derive/"&amp;$K2&amp;"/"&amp;$E2&amp;"/"</f>
        <v xml:space="preserve">    - derive/⚋⚊⚊/☱/</v>
      </c>
      <c r="O2">
        <f t="shared" si="0"/>
        <v>44.37</v>
      </c>
      <c r="P2" t="str">
        <f t="shared" ref="P2:P17" si="4">LEFT(I2,1)</f>
        <v>2</v>
      </c>
      <c r="Q2" t="str">
        <f t="shared" ref="Q2:Q17" si="5">MID(I2,2,1)</f>
        <v>1</v>
      </c>
      <c r="R2" t="str">
        <f t="shared" ref="R2:R8" si="6">RIGHT(I2,1)</f>
        <v>1</v>
      </c>
      <c r="S2">
        <f t="shared" ref="S2:S8" si="7">IF(P2="1",3,5)</f>
        <v>5</v>
      </c>
      <c r="T2">
        <f t="shared" ref="T2:T8" si="8">IF(Q2="1",3,5)</f>
        <v>3</v>
      </c>
      <c r="U2">
        <f t="shared" ref="U2:U8" si="9">IF(R2="1",3,5)</f>
        <v>3</v>
      </c>
    </row>
    <row r="3" spans="1:21" ht="19.2">
      <c r="A3" t="s">
        <v>185</v>
      </c>
      <c r="B3">
        <v>9778</v>
      </c>
      <c r="C3">
        <v>3</v>
      </c>
      <c r="D3">
        <v>3</v>
      </c>
      <c r="E3" s="2" t="s">
        <v>1074</v>
      </c>
      <c r="F3" t="s">
        <v>187</v>
      </c>
      <c r="I3">
        <v>121</v>
      </c>
      <c r="J3" t="s">
        <v>188</v>
      </c>
      <c r="K3" t="s">
        <v>1034</v>
      </c>
      <c r="L3" t="str">
        <f t="shared" si="2"/>
        <v xml:space="preserve">    - xform/☲/⚊⚋⚊/</v>
      </c>
      <c r="M3" t="str">
        <f t="shared" si="3"/>
        <v xml:space="preserve">    - derive/⚊⚋⚊/☲/</v>
      </c>
      <c r="O3">
        <f t="shared" si="0"/>
        <v>44.949999999999996</v>
      </c>
      <c r="P3" t="str">
        <f t="shared" si="4"/>
        <v>1</v>
      </c>
      <c r="Q3" t="str">
        <f t="shared" si="5"/>
        <v>2</v>
      </c>
      <c r="R3" t="str">
        <f t="shared" si="6"/>
        <v>1</v>
      </c>
      <c r="S3">
        <f t="shared" si="7"/>
        <v>3</v>
      </c>
      <c r="T3">
        <f t="shared" si="8"/>
        <v>5</v>
      </c>
      <c r="U3">
        <f t="shared" si="9"/>
        <v>3</v>
      </c>
    </row>
    <row r="4" spans="1:21">
      <c r="A4" t="s">
        <v>189</v>
      </c>
      <c r="B4">
        <v>9779</v>
      </c>
      <c r="C4">
        <v>4</v>
      </c>
      <c r="D4">
        <v>4</v>
      </c>
      <c r="E4" t="s">
        <v>190</v>
      </c>
      <c r="F4" t="s">
        <v>191</v>
      </c>
      <c r="I4">
        <v>221</v>
      </c>
      <c r="J4" t="s">
        <v>192</v>
      </c>
      <c r="K4" t="s">
        <v>1035</v>
      </c>
      <c r="L4" t="str">
        <f t="shared" si="2"/>
        <v xml:space="preserve">    - xform/☳/⚋⚋⚊/</v>
      </c>
      <c r="M4" t="str">
        <f t="shared" si="3"/>
        <v xml:space="preserve">    - derive/⚋⚋⚊/☳/</v>
      </c>
      <c r="O4">
        <f t="shared" si="0"/>
        <v>73.95</v>
      </c>
      <c r="P4" t="str">
        <f t="shared" si="4"/>
        <v>2</v>
      </c>
      <c r="Q4" t="str">
        <f t="shared" si="5"/>
        <v>2</v>
      </c>
      <c r="R4" t="str">
        <f t="shared" si="6"/>
        <v>1</v>
      </c>
      <c r="S4">
        <f t="shared" si="7"/>
        <v>5</v>
      </c>
      <c r="T4">
        <f t="shared" si="8"/>
        <v>5</v>
      </c>
      <c r="U4">
        <f t="shared" si="9"/>
        <v>3</v>
      </c>
    </row>
    <row r="5" spans="1:21">
      <c r="A5" t="s">
        <v>193</v>
      </c>
      <c r="B5">
        <v>9780</v>
      </c>
      <c r="C5">
        <v>5</v>
      </c>
      <c r="D5">
        <v>5</v>
      </c>
      <c r="E5" t="s">
        <v>194</v>
      </c>
      <c r="F5" t="s">
        <v>195</v>
      </c>
      <c r="I5">
        <v>112</v>
      </c>
      <c r="J5" t="s">
        <v>196</v>
      </c>
      <c r="K5" t="s">
        <v>1036</v>
      </c>
      <c r="L5" t="str">
        <f t="shared" si="2"/>
        <v xml:space="preserve">    - xform/☴/⚊⚊⚋/</v>
      </c>
      <c r="M5" t="str">
        <f t="shared" si="3"/>
        <v xml:space="preserve">    - derive/⚊⚊⚋/☴/</v>
      </c>
      <c r="O5">
        <f t="shared" si="0"/>
        <v>45.570000000000007</v>
      </c>
      <c r="P5" t="str">
        <f t="shared" si="4"/>
        <v>1</v>
      </c>
      <c r="Q5" t="str">
        <f t="shared" si="5"/>
        <v>1</v>
      </c>
      <c r="R5" t="str">
        <f t="shared" si="6"/>
        <v>2</v>
      </c>
      <c r="S5">
        <f t="shared" si="7"/>
        <v>3</v>
      </c>
      <c r="T5">
        <f t="shared" si="8"/>
        <v>3</v>
      </c>
      <c r="U5">
        <f t="shared" si="9"/>
        <v>5</v>
      </c>
    </row>
    <row r="6" spans="1:21">
      <c r="A6" t="s">
        <v>197</v>
      </c>
      <c r="B6">
        <v>9781</v>
      </c>
      <c r="C6">
        <v>6</v>
      </c>
      <c r="D6">
        <v>6</v>
      </c>
      <c r="E6" t="s">
        <v>198</v>
      </c>
      <c r="F6" t="s">
        <v>199</v>
      </c>
      <c r="I6">
        <v>212</v>
      </c>
      <c r="J6" t="s">
        <v>200</v>
      </c>
      <c r="K6" t="s">
        <v>1037</v>
      </c>
      <c r="L6" t="str">
        <f t="shared" si="2"/>
        <v xml:space="preserve">    - xform/☵/⚋⚊⚋/</v>
      </c>
      <c r="M6" t="str">
        <f t="shared" si="3"/>
        <v xml:space="preserve">    - derive/⚋⚊⚋/☵/</v>
      </c>
      <c r="O6">
        <f t="shared" si="0"/>
        <v>74.97</v>
      </c>
      <c r="P6" t="str">
        <f t="shared" si="4"/>
        <v>2</v>
      </c>
      <c r="Q6" t="str">
        <f t="shared" si="5"/>
        <v>1</v>
      </c>
      <c r="R6" t="str">
        <f t="shared" si="6"/>
        <v>2</v>
      </c>
      <c r="S6">
        <f t="shared" si="7"/>
        <v>5</v>
      </c>
      <c r="T6">
        <f t="shared" si="8"/>
        <v>3</v>
      </c>
      <c r="U6">
        <f t="shared" si="9"/>
        <v>5</v>
      </c>
    </row>
    <row r="7" spans="1:21">
      <c r="A7" t="s">
        <v>201</v>
      </c>
      <c r="B7">
        <v>9782</v>
      </c>
      <c r="C7">
        <v>7</v>
      </c>
      <c r="D7">
        <v>7</v>
      </c>
      <c r="E7" t="s">
        <v>202</v>
      </c>
      <c r="F7" t="s">
        <v>203</v>
      </c>
      <c r="I7">
        <v>122</v>
      </c>
      <c r="J7" t="s">
        <v>204</v>
      </c>
      <c r="K7" t="s">
        <v>1038</v>
      </c>
      <c r="L7" t="str">
        <f t="shared" si="2"/>
        <v xml:space="preserve">    - xform/☶/⚊⚋⚋/</v>
      </c>
      <c r="M7" t="str">
        <f t="shared" si="3"/>
        <v xml:space="preserve">    - derive/⚊⚋⚋/☶/</v>
      </c>
      <c r="O7">
        <f t="shared" si="0"/>
        <v>75.95</v>
      </c>
      <c r="P7" t="str">
        <f t="shared" si="4"/>
        <v>1</v>
      </c>
      <c r="Q7" t="str">
        <f t="shared" si="5"/>
        <v>2</v>
      </c>
      <c r="R7" t="str">
        <f t="shared" si="6"/>
        <v>2</v>
      </c>
      <c r="S7">
        <f t="shared" si="7"/>
        <v>3</v>
      </c>
      <c r="T7">
        <f t="shared" si="8"/>
        <v>5</v>
      </c>
      <c r="U7">
        <f t="shared" si="9"/>
        <v>5</v>
      </c>
    </row>
    <row r="8" spans="1:21">
      <c r="A8" t="s">
        <v>205</v>
      </c>
      <c r="B8">
        <v>9783</v>
      </c>
      <c r="C8">
        <v>8</v>
      </c>
      <c r="D8">
        <v>8</v>
      </c>
      <c r="E8" t="s">
        <v>206</v>
      </c>
      <c r="F8" t="s">
        <v>207</v>
      </c>
      <c r="I8">
        <v>222</v>
      </c>
      <c r="J8" t="s">
        <v>208</v>
      </c>
      <c r="K8" t="s">
        <v>1039</v>
      </c>
      <c r="L8" t="str">
        <f t="shared" si="2"/>
        <v xml:space="preserve">    - xform/☷/⚋⚋⚋/</v>
      </c>
      <c r="M8" t="str">
        <f t="shared" si="3"/>
        <v xml:space="preserve">    - derive/⚋⚋⚋/☷/</v>
      </c>
      <c r="O8">
        <f t="shared" si="0"/>
        <v>124.95</v>
      </c>
      <c r="P8" t="str">
        <f t="shared" si="4"/>
        <v>2</v>
      </c>
      <c r="Q8" t="str">
        <f t="shared" si="5"/>
        <v>2</v>
      </c>
      <c r="R8" t="str">
        <f t="shared" si="6"/>
        <v>2</v>
      </c>
      <c r="S8">
        <f t="shared" si="7"/>
        <v>5</v>
      </c>
      <c r="T8">
        <f t="shared" si="8"/>
        <v>5</v>
      </c>
      <c r="U8">
        <f t="shared" si="9"/>
        <v>5</v>
      </c>
    </row>
    <row r="9" spans="1:21">
      <c r="A9" t="s">
        <v>211</v>
      </c>
      <c r="B9">
        <v>9868</v>
      </c>
      <c r="C9">
        <v>11</v>
      </c>
      <c r="D9">
        <v>1</v>
      </c>
      <c r="E9" t="s">
        <v>212</v>
      </c>
      <c r="F9" t="s">
        <v>213</v>
      </c>
      <c r="I9">
        <v>11</v>
      </c>
      <c r="J9" t="s">
        <v>214</v>
      </c>
      <c r="K9" t="s">
        <v>1040</v>
      </c>
      <c r="L9" t="str">
        <f t="shared" si="2"/>
        <v xml:space="preserve">    - xform/⚌/⚊⚊/</v>
      </c>
      <c r="M9" t="str">
        <f t="shared" si="3"/>
        <v xml:space="preserve">    - derive/⚊⚊/⚌/</v>
      </c>
      <c r="O9">
        <f t="shared" ref="O9:O17" si="10">(S9+0.2)*(T9-0.2)</f>
        <v>0.96</v>
      </c>
      <c r="P9" t="str">
        <f t="shared" si="4"/>
        <v>1</v>
      </c>
      <c r="Q9" t="str">
        <f t="shared" si="5"/>
        <v>1</v>
      </c>
      <c r="S9">
        <f>IF(P9="1",1,IF(P9="2",4.1,3.9))</f>
        <v>1</v>
      </c>
      <c r="T9">
        <f>IF(Q9="1",1,IF(Q9="2",4.1,3.9))</f>
        <v>1</v>
      </c>
    </row>
    <row r="10" spans="1:21">
      <c r="A10" t="s">
        <v>215</v>
      </c>
      <c r="B10">
        <v>9869</v>
      </c>
      <c r="C10">
        <v>12</v>
      </c>
      <c r="D10">
        <v>2</v>
      </c>
      <c r="E10" t="s">
        <v>216</v>
      </c>
      <c r="F10" t="s">
        <v>217</v>
      </c>
      <c r="I10">
        <v>21</v>
      </c>
      <c r="J10" t="s">
        <v>218</v>
      </c>
      <c r="K10" t="s">
        <v>1041</v>
      </c>
      <c r="L10" t="str">
        <f t="shared" si="2"/>
        <v xml:space="preserve">    - xform/⚍/⚋⚊/</v>
      </c>
      <c r="M10" t="str">
        <f t="shared" si="3"/>
        <v xml:space="preserve">    - derive/⚋⚊/⚍/</v>
      </c>
      <c r="O10">
        <f t="shared" si="10"/>
        <v>3.44</v>
      </c>
      <c r="P10" t="str">
        <f t="shared" si="4"/>
        <v>2</v>
      </c>
      <c r="Q10" t="str">
        <f t="shared" si="5"/>
        <v>1</v>
      </c>
      <c r="S10">
        <f t="shared" ref="S10:S17" si="11">IF(P10="1",1,IF(P10="2",4.1,3.9))</f>
        <v>4.0999999999999996</v>
      </c>
      <c r="T10">
        <f t="shared" ref="T10:T17" si="12">IF(Q10="1",1,IF(Q10="2",4.1,3.9))</f>
        <v>1</v>
      </c>
    </row>
    <row r="11" spans="1:21">
      <c r="A11" t="s">
        <v>219</v>
      </c>
      <c r="B11">
        <v>9870</v>
      </c>
      <c r="C11">
        <v>13</v>
      </c>
      <c r="D11">
        <v>3</v>
      </c>
      <c r="E11" t="s">
        <v>220</v>
      </c>
      <c r="F11" t="s">
        <v>221</v>
      </c>
      <c r="I11">
        <v>12</v>
      </c>
      <c r="J11" t="s">
        <v>222</v>
      </c>
      <c r="K11" t="s">
        <v>1042</v>
      </c>
      <c r="L11" t="str">
        <f t="shared" si="2"/>
        <v xml:space="preserve">    - xform/⚎/⚊⚋/</v>
      </c>
      <c r="M11" t="str">
        <f t="shared" si="3"/>
        <v xml:space="preserve">    - derive/⚊⚋/⚎/</v>
      </c>
      <c r="O11">
        <f t="shared" si="10"/>
        <v>4.6799999999999988</v>
      </c>
      <c r="P11" t="str">
        <f t="shared" si="4"/>
        <v>1</v>
      </c>
      <c r="Q11" t="str">
        <f t="shared" si="5"/>
        <v>2</v>
      </c>
      <c r="S11">
        <f t="shared" si="11"/>
        <v>1</v>
      </c>
      <c r="T11">
        <f t="shared" si="12"/>
        <v>4.0999999999999996</v>
      </c>
    </row>
    <row r="12" spans="1:21">
      <c r="A12" t="s">
        <v>223</v>
      </c>
      <c r="B12">
        <v>9871</v>
      </c>
      <c r="C12">
        <v>14</v>
      </c>
      <c r="D12">
        <v>4</v>
      </c>
      <c r="E12" t="s">
        <v>224</v>
      </c>
      <c r="F12" t="s">
        <v>225</v>
      </c>
      <c r="I12">
        <v>22</v>
      </c>
      <c r="J12" t="s">
        <v>226</v>
      </c>
      <c r="K12" t="s">
        <v>1043</v>
      </c>
      <c r="L12" t="str">
        <f t="shared" si="2"/>
        <v xml:space="preserve">    - xform/⚏/⚋⚋/</v>
      </c>
      <c r="M12" t="str">
        <f t="shared" si="3"/>
        <v xml:space="preserve">    - derive/⚋⚋/⚏/</v>
      </c>
      <c r="O12">
        <f t="shared" si="10"/>
        <v>16.769999999999996</v>
      </c>
      <c r="P12" t="str">
        <f t="shared" si="4"/>
        <v>2</v>
      </c>
      <c r="Q12" t="str">
        <f t="shared" si="5"/>
        <v>2</v>
      </c>
      <c r="S12">
        <f t="shared" si="11"/>
        <v>4.0999999999999996</v>
      </c>
      <c r="T12">
        <f t="shared" si="12"/>
        <v>4.0999999999999996</v>
      </c>
    </row>
    <row r="13" spans="1:21">
      <c r="A13" t="s">
        <v>1045</v>
      </c>
      <c r="B13">
        <v>119553</v>
      </c>
      <c r="C13">
        <v>80</v>
      </c>
      <c r="D13">
        <v>5</v>
      </c>
      <c r="E13" t="s">
        <v>1046</v>
      </c>
      <c r="G13" t="s">
        <v>1052</v>
      </c>
      <c r="H13" t="s">
        <v>1047</v>
      </c>
      <c r="I13">
        <v>13</v>
      </c>
      <c r="J13" t="s">
        <v>1053</v>
      </c>
      <c r="K13" t="s">
        <v>1054</v>
      </c>
      <c r="L13" t="str">
        <f t="shared" si="2"/>
        <v xml:space="preserve">    - xform/𝌁/⚊𝌀/</v>
      </c>
      <c r="M13" t="str">
        <f t="shared" si="3"/>
        <v xml:space="preserve">    - derive/⚊𝌀/𝌁/</v>
      </c>
      <c r="O13">
        <f t="shared" si="10"/>
        <v>4.4399999999999995</v>
      </c>
      <c r="P13" t="str">
        <f t="shared" si="4"/>
        <v>1</v>
      </c>
      <c r="Q13" t="str">
        <f t="shared" si="5"/>
        <v>3</v>
      </c>
      <c r="S13">
        <f t="shared" si="11"/>
        <v>1</v>
      </c>
      <c r="T13">
        <f t="shared" si="12"/>
        <v>3.9</v>
      </c>
    </row>
    <row r="14" spans="1:21">
      <c r="A14" t="s">
        <v>1050</v>
      </c>
      <c r="B14">
        <v>119554</v>
      </c>
      <c r="C14">
        <v>81</v>
      </c>
      <c r="D14">
        <v>6</v>
      </c>
      <c r="E14" t="s">
        <v>1051</v>
      </c>
      <c r="G14" t="s">
        <v>1057</v>
      </c>
      <c r="H14" t="s">
        <v>1052</v>
      </c>
      <c r="I14">
        <v>23</v>
      </c>
      <c r="J14" t="s">
        <v>1058</v>
      </c>
      <c r="K14" t="s">
        <v>1059</v>
      </c>
      <c r="L14" t="str">
        <f t="shared" si="2"/>
        <v xml:space="preserve">    - xform/𝌂/⚋𝌀/</v>
      </c>
      <c r="M14" t="str">
        <f t="shared" si="3"/>
        <v xml:space="preserve">    - derive/⚋𝌀/𝌂/</v>
      </c>
      <c r="O14">
        <f t="shared" si="10"/>
        <v>15.909999999999998</v>
      </c>
      <c r="P14" t="str">
        <f t="shared" si="4"/>
        <v>2</v>
      </c>
      <c r="Q14" t="str">
        <f t="shared" si="5"/>
        <v>3</v>
      </c>
      <c r="S14">
        <f t="shared" si="11"/>
        <v>4.0999999999999996</v>
      </c>
      <c r="T14">
        <f t="shared" si="12"/>
        <v>3.9</v>
      </c>
    </row>
    <row r="15" spans="1:21">
      <c r="A15" t="s">
        <v>1055</v>
      </c>
      <c r="B15">
        <v>119555</v>
      </c>
      <c r="C15">
        <v>82</v>
      </c>
      <c r="D15">
        <v>7</v>
      </c>
      <c r="E15" t="s">
        <v>1056</v>
      </c>
      <c r="G15" t="s">
        <v>1047</v>
      </c>
      <c r="H15" t="s">
        <v>1057</v>
      </c>
      <c r="I15">
        <v>31</v>
      </c>
      <c r="J15" t="s">
        <v>1048</v>
      </c>
      <c r="K15" t="s">
        <v>1049</v>
      </c>
      <c r="L15" t="str">
        <f t="shared" si="2"/>
        <v xml:space="preserve">    - xform/𝌃/𝌀⚊/</v>
      </c>
      <c r="M15" t="str">
        <f t="shared" si="3"/>
        <v xml:space="preserve">    - derive/𝌀⚊/𝌃/</v>
      </c>
      <c r="O15">
        <f t="shared" si="10"/>
        <v>3.28</v>
      </c>
      <c r="P15" t="str">
        <f t="shared" si="4"/>
        <v>3</v>
      </c>
      <c r="Q15" t="str">
        <f t="shared" si="5"/>
        <v>1</v>
      </c>
      <c r="S15">
        <f t="shared" si="11"/>
        <v>3.9</v>
      </c>
      <c r="T15">
        <f t="shared" si="12"/>
        <v>1</v>
      </c>
    </row>
    <row r="16" spans="1:21">
      <c r="A16" t="s">
        <v>1060</v>
      </c>
      <c r="B16">
        <v>119556</v>
      </c>
      <c r="C16">
        <v>83</v>
      </c>
      <c r="D16">
        <v>8</v>
      </c>
      <c r="E16" t="s">
        <v>1061</v>
      </c>
      <c r="G16" t="s">
        <v>1062</v>
      </c>
      <c r="I16">
        <v>32</v>
      </c>
      <c r="J16" t="s">
        <v>1063</v>
      </c>
      <c r="K16" t="s">
        <v>1064</v>
      </c>
      <c r="L16" t="str">
        <f t="shared" si="2"/>
        <v xml:space="preserve">    - xform/𝌄/𝌀⚋/</v>
      </c>
      <c r="M16" t="str">
        <f t="shared" si="3"/>
        <v xml:space="preserve">    - derive/𝌀⚋/𝌄/</v>
      </c>
      <c r="O16">
        <f t="shared" si="10"/>
        <v>15.989999999999997</v>
      </c>
      <c r="P16" t="str">
        <f t="shared" si="4"/>
        <v>3</v>
      </c>
      <c r="Q16" t="str">
        <f t="shared" si="5"/>
        <v>2</v>
      </c>
      <c r="S16">
        <f t="shared" si="11"/>
        <v>3.9</v>
      </c>
      <c r="T16">
        <f t="shared" si="12"/>
        <v>4.0999999999999996</v>
      </c>
    </row>
    <row r="17" spans="1:20">
      <c r="A17" t="s">
        <v>1065</v>
      </c>
      <c r="B17">
        <v>119557</v>
      </c>
      <c r="C17">
        <v>84</v>
      </c>
      <c r="D17">
        <v>9</v>
      </c>
      <c r="E17" t="s">
        <v>1066</v>
      </c>
      <c r="G17" t="s">
        <v>1067</v>
      </c>
      <c r="I17">
        <v>33</v>
      </c>
      <c r="J17" t="s">
        <v>1068</v>
      </c>
      <c r="K17" t="s">
        <v>1069</v>
      </c>
      <c r="L17" t="str">
        <f t="shared" si="2"/>
        <v xml:space="preserve">    - xform/𝌅/𝌀𝌀/</v>
      </c>
      <c r="M17" t="str">
        <f t="shared" si="3"/>
        <v xml:space="preserve">    - derive/𝌀𝌀/𝌅/</v>
      </c>
      <c r="O17">
        <f t="shared" si="10"/>
        <v>15.169999999999998</v>
      </c>
      <c r="P17" t="str">
        <f t="shared" si="4"/>
        <v>3</v>
      </c>
      <c r="Q17" t="str">
        <f t="shared" si="5"/>
        <v>3</v>
      </c>
      <c r="S17">
        <f t="shared" si="11"/>
        <v>3.9</v>
      </c>
      <c r="T17">
        <f t="shared" si="12"/>
        <v>3.9</v>
      </c>
    </row>
    <row r="18" spans="1:20" ht="19.2">
      <c r="A18" t="s">
        <v>178</v>
      </c>
      <c r="B18" t="s">
        <v>194</v>
      </c>
      <c r="C18" s="2" t="s">
        <v>1074</v>
      </c>
      <c r="D18" t="s">
        <v>202</v>
      </c>
      <c r="E18" t="s">
        <v>206</v>
      </c>
      <c r="F18" t="s">
        <v>190</v>
      </c>
      <c r="G18" t="s">
        <v>198</v>
      </c>
      <c r="I18" t="s">
        <v>182</v>
      </c>
    </row>
    <row r="21" spans="1:20" ht="19.2">
      <c r="I21" s="3" t="s">
        <v>1121</v>
      </c>
      <c r="J21" s="2" t="s">
        <v>1125</v>
      </c>
      <c r="K21" s="2" t="s">
        <v>1122</v>
      </c>
      <c r="L21" t="str">
        <f>DEC2HEX(_xlfn.UNICODE(K21))</f>
        <v>1D301</v>
      </c>
      <c r="M21" s="2" t="s">
        <v>1124</v>
      </c>
    </row>
    <row r="22" spans="1:20" ht="19.2">
      <c r="I22" s="2" t="s">
        <v>1121</v>
      </c>
      <c r="K22" s="2" t="s">
        <v>1123</v>
      </c>
      <c r="L22" t="str">
        <f t="shared" ref="L22:L23" si="13">DEC2HEX(_xlfn.UNICODE(K22))</f>
        <v>1D302</v>
      </c>
    </row>
    <row r="23" spans="1:20" ht="19.2">
      <c r="K23" s="2" t="s">
        <v>1120</v>
      </c>
      <c r="L23" t="str">
        <f t="shared" si="13"/>
        <v>1D303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8EF4-7BB2-4209-89ED-668BAC7CD8B7}">
  <dimension ref="A1:P7"/>
  <sheetViews>
    <sheetView workbookViewId="0">
      <selection activeCell="L1" sqref="L1:L7"/>
    </sheetView>
  </sheetViews>
  <sheetFormatPr defaultRowHeight="16.2"/>
  <sheetData>
    <row r="1" spans="1:16" ht="19.2">
      <c r="A1" t="s">
        <v>211</v>
      </c>
      <c r="B1">
        <v>9868</v>
      </c>
      <c r="C1">
        <v>11</v>
      </c>
      <c r="D1">
        <v>1</v>
      </c>
      <c r="E1" t="s">
        <v>212</v>
      </c>
      <c r="F1" t="s">
        <v>213</v>
      </c>
      <c r="H1">
        <v>11</v>
      </c>
      <c r="I1" t="s">
        <v>214</v>
      </c>
      <c r="J1" s="2" t="s">
        <v>1117</v>
      </c>
      <c r="L1" t="s">
        <v>1070</v>
      </c>
    </row>
    <row r="2" spans="1:16">
      <c r="A2" t="s">
        <v>215</v>
      </c>
      <c r="B2">
        <v>9869</v>
      </c>
      <c r="C2">
        <v>12</v>
      </c>
      <c r="D2">
        <v>2</v>
      </c>
      <c r="E2" t="s">
        <v>216</v>
      </c>
      <c r="F2" t="s">
        <v>217</v>
      </c>
      <c r="H2">
        <v>21</v>
      </c>
      <c r="I2" t="s">
        <v>218</v>
      </c>
      <c r="J2" t="s">
        <v>1041</v>
      </c>
      <c r="L2" t="s">
        <v>1071</v>
      </c>
    </row>
    <row r="3" spans="1:16">
      <c r="A3" t="s">
        <v>219</v>
      </c>
      <c r="B3">
        <v>9870</v>
      </c>
      <c r="C3">
        <v>13</v>
      </c>
      <c r="D3">
        <v>3</v>
      </c>
      <c r="E3" t="s">
        <v>220</v>
      </c>
      <c r="F3" t="s">
        <v>221</v>
      </c>
      <c r="H3">
        <v>12</v>
      </c>
      <c r="I3" t="s">
        <v>222</v>
      </c>
      <c r="J3" t="s">
        <v>1042</v>
      </c>
      <c r="L3" t="s">
        <v>1072</v>
      </c>
    </row>
    <row r="4" spans="1:16" ht="19.2">
      <c r="A4" t="s">
        <v>223</v>
      </c>
      <c r="B4">
        <v>9871</v>
      </c>
      <c r="C4">
        <v>14</v>
      </c>
      <c r="D4">
        <v>4</v>
      </c>
      <c r="E4" t="s">
        <v>224</v>
      </c>
      <c r="F4" t="s">
        <v>225</v>
      </c>
      <c r="H4">
        <v>22</v>
      </c>
      <c r="I4" t="s">
        <v>226</v>
      </c>
      <c r="J4" t="s">
        <v>1043</v>
      </c>
      <c r="L4" t="s">
        <v>1073</v>
      </c>
      <c r="P4" s="2"/>
    </row>
    <row r="5" spans="1:16" ht="19.2">
      <c r="L5" t="s">
        <v>1118</v>
      </c>
    </row>
    <row r="6" spans="1:16" ht="19.2">
      <c r="L6" t="s">
        <v>1116</v>
      </c>
    </row>
    <row r="7" spans="1:16" ht="19.2">
      <c r="L7" t="s">
        <v>1119</v>
      </c>
      <c r="P7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A3A5-9DB4-4D62-BDA0-B648817464AC}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D878-D559-4399-B0E7-B80DEE872F7B}">
  <dimension ref="B1:C3"/>
  <sheetViews>
    <sheetView workbookViewId="0">
      <selection activeCell="B1" sqref="B1"/>
    </sheetView>
  </sheetViews>
  <sheetFormatPr defaultRowHeight="16.2"/>
  <sheetData>
    <row r="1" spans="2:3">
      <c r="B1">
        <f>象!$B11+1</f>
        <v>119558</v>
      </c>
      <c r="C1" t="str">
        <f>_xlfn.UNICHAR($B1)</f>
        <v>𝌆</v>
      </c>
    </row>
    <row r="2" spans="2:3">
      <c r="B2">
        <f>$B1+1</f>
        <v>119559</v>
      </c>
      <c r="C2" t="str">
        <f>_xlfn.UNICHAR($B2)</f>
        <v>𝌇</v>
      </c>
    </row>
    <row r="3" spans="2:3">
      <c r="B3">
        <f>$B2+1</f>
        <v>119560</v>
      </c>
      <c r="C3" t="str">
        <f>_xlfn.UNICHAR($B3)</f>
        <v>𝌈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8BF9-AEEE-497B-B54C-A9E9391B7349}">
  <dimension ref="A1:C3"/>
  <sheetViews>
    <sheetView workbookViewId="0">
      <selection activeCell="C1" sqref="C1:C3"/>
    </sheetView>
  </sheetViews>
  <sheetFormatPr defaultRowHeight="16.2"/>
  <sheetData>
    <row r="1" spans="1:3">
      <c r="A1" t="s">
        <v>0</v>
      </c>
      <c r="B1">
        <f>HEX2DEC($A$1)</f>
        <v>9866</v>
      </c>
      <c r="C1" t="str">
        <f>_xlfn.UNICHAR($B1)</f>
        <v>⚊</v>
      </c>
    </row>
    <row r="2" spans="1:3">
      <c r="B2">
        <f>$B1+1</f>
        <v>9867</v>
      </c>
      <c r="C2" t="str">
        <f>_xlfn.UNICHAR($B2)</f>
        <v>⚋</v>
      </c>
    </row>
    <row r="3" spans="1:3">
      <c r="A3" t="s">
        <v>1</v>
      </c>
      <c r="B3">
        <f>HEX2DEC($A$3)</f>
        <v>119552</v>
      </c>
      <c r="C3" t="str">
        <f>_xlfn.UNICHAR($B3)</f>
        <v>𝌀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0A0F-18DB-472C-851E-DCE804E12B98}">
  <dimension ref="A1:C11"/>
  <sheetViews>
    <sheetView workbookViewId="0">
      <selection sqref="A1:C11"/>
    </sheetView>
  </sheetViews>
  <sheetFormatPr defaultRowHeight="16.2"/>
  <sheetData>
    <row r="1" spans="1:3">
      <c r="A1" t="s">
        <v>0</v>
      </c>
      <c r="B1">
        <f>HEX2DEC($A$1)</f>
        <v>9866</v>
      </c>
      <c r="C1" t="str">
        <f t="shared" ref="C1:C11" si="0">_xlfn.UNICHAR($B1)</f>
        <v>⚊</v>
      </c>
    </row>
    <row r="2" spans="1:3">
      <c r="B2">
        <f>$B1+1</f>
        <v>9867</v>
      </c>
      <c r="C2" t="str">
        <f t="shared" si="0"/>
        <v>⚋</v>
      </c>
    </row>
    <row r="3" spans="1:3">
      <c r="B3">
        <f t="shared" ref="B3:B8" si="1">$B2+1</f>
        <v>9868</v>
      </c>
      <c r="C3" t="str">
        <f t="shared" si="0"/>
        <v>⚌</v>
      </c>
    </row>
    <row r="4" spans="1:3">
      <c r="B4">
        <f t="shared" si="1"/>
        <v>9869</v>
      </c>
      <c r="C4" t="str">
        <f t="shared" si="0"/>
        <v>⚍</v>
      </c>
    </row>
    <row r="5" spans="1:3">
      <c r="B5">
        <f t="shared" si="1"/>
        <v>9870</v>
      </c>
      <c r="C5" t="str">
        <f t="shared" si="0"/>
        <v>⚎</v>
      </c>
    </row>
    <row r="6" spans="1:3">
      <c r="B6">
        <f t="shared" si="1"/>
        <v>9871</v>
      </c>
      <c r="C6" t="str">
        <f t="shared" si="0"/>
        <v>⚏</v>
      </c>
    </row>
    <row r="7" spans="1:3">
      <c r="A7" t="s">
        <v>2</v>
      </c>
      <c r="B7">
        <f>HEX2DEC($A$7)</f>
        <v>119553</v>
      </c>
      <c r="C7" t="str">
        <f t="shared" si="0"/>
        <v>𝌁</v>
      </c>
    </row>
    <row r="8" spans="1:3">
      <c r="B8">
        <f t="shared" si="1"/>
        <v>119554</v>
      </c>
      <c r="C8" t="str">
        <f t="shared" si="0"/>
        <v>𝌂</v>
      </c>
    </row>
    <row r="9" spans="1:3">
      <c r="B9">
        <f>$B8+1</f>
        <v>119555</v>
      </c>
      <c r="C9" t="str">
        <f t="shared" si="0"/>
        <v>𝌃</v>
      </c>
    </row>
    <row r="10" spans="1:3">
      <c r="B10">
        <f>$B9+1</f>
        <v>119556</v>
      </c>
      <c r="C10" t="str">
        <f t="shared" si="0"/>
        <v>𝌄</v>
      </c>
    </row>
    <row r="11" spans="1:3">
      <c r="B11">
        <f>$B10+1</f>
        <v>119557</v>
      </c>
      <c r="C11" t="str">
        <f t="shared" si="0"/>
        <v>𝌅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011D-16A9-41B7-89C7-68441C242501}">
  <dimension ref="A1:C8"/>
  <sheetViews>
    <sheetView workbookViewId="0">
      <selection activeCell="C9" sqref="C9"/>
    </sheetView>
  </sheetViews>
  <sheetFormatPr defaultRowHeight="16.2"/>
  <sheetData>
    <row r="1" spans="1:3">
      <c r="A1">
        <v>2630</v>
      </c>
      <c r="B1">
        <f>HEX2DEC($A$1)</f>
        <v>9776</v>
      </c>
      <c r="C1" t="str">
        <f>_xlfn.UNICHAR($B1)</f>
        <v>☰</v>
      </c>
    </row>
    <row r="2" spans="1:3">
      <c r="B2">
        <f>$B1+1</f>
        <v>9777</v>
      </c>
      <c r="C2" t="str">
        <f>_xlfn.UNICHAR($B2)</f>
        <v>☱</v>
      </c>
    </row>
    <row r="3" spans="1:3">
      <c r="B3">
        <f t="shared" ref="B3:B8" si="0">$B2+1</f>
        <v>9778</v>
      </c>
      <c r="C3" t="str">
        <f t="shared" ref="C3:C8" si="1">_xlfn.UNICHAR($B3)</f>
        <v>☲</v>
      </c>
    </row>
    <row r="4" spans="1:3">
      <c r="B4">
        <f t="shared" si="0"/>
        <v>9779</v>
      </c>
      <c r="C4" t="str">
        <f t="shared" si="1"/>
        <v>☳</v>
      </c>
    </row>
    <row r="5" spans="1:3">
      <c r="B5">
        <f t="shared" si="0"/>
        <v>9780</v>
      </c>
      <c r="C5" t="str">
        <f t="shared" si="1"/>
        <v>☴</v>
      </c>
    </row>
    <row r="6" spans="1:3">
      <c r="B6">
        <f t="shared" si="0"/>
        <v>9781</v>
      </c>
      <c r="C6" t="str">
        <f t="shared" si="1"/>
        <v>☵</v>
      </c>
    </row>
    <row r="7" spans="1:3">
      <c r="B7">
        <f t="shared" si="0"/>
        <v>9782</v>
      </c>
      <c r="C7" t="str">
        <f t="shared" si="1"/>
        <v>☶</v>
      </c>
    </row>
    <row r="8" spans="1:3">
      <c r="B8">
        <f t="shared" si="0"/>
        <v>9783</v>
      </c>
      <c r="C8" t="str">
        <f t="shared" si="1"/>
        <v>☷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83B0-24A1-40F6-AA0A-4F4A38EFD675}">
  <dimension ref="A1:N166"/>
  <sheetViews>
    <sheetView topLeftCell="A70" zoomScale="115" zoomScaleNormal="115" workbookViewId="0">
      <selection activeCell="B81" sqref="B81:L83"/>
    </sheetView>
  </sheetViews>
  <sheetFormatPr defaultRowHeight="16.2"/>
  <cols>
    <col min="12" max="12" width="10.33203125" bestFit="1" customWidth="1"/>
  </cols>
  <sheetData>
    <row r="1" spans="1:14">
      <c r="A1" t="s">
        <v>5</v>
      </c>
      <c r="C1" t="s">
        <v>6</v>
      </c>
      <c r="D1" t="s">
        <v>7</v>
      </c>
      <c r="E1" t="s">
        <v>8</v>
      </c>
      <c r="F1" t="s">
        <v>4</v>
      </c>
    </row>
    <row r="2" spans="1:14">
      <c r="A2">
        <v>2630</v>
      </c>
      <c r="B2" t="str">
        <f>DEC2HEX($C2)</f>
        <v>2630</v>
      </c>
      <c r="C2" cm="1">
        <f t="array" ref="C2">IF($A2="",IF(ROW()=1,"",INDEX(C:C,ROW()-1)+1),HEX2DEC($A2))</f>
        <v>9776</v>
      </c>
      <c r="D2">
        <v>1</v>
      </c>
      <c r="E2">
        <v>1</v>
      </c>
      <c r="F2" t="str">
        <f>_xlfn.UNICHAR($C2)</f>
        <v>☰</v>
      </c>
      <c r="G2" t="s">
        <v>25</v>
      </c>
      <c r="J2">
        <v>111</v>
      </c>
      <c r="K2" t="str" cm="1">
        <f t="array" ref="K2">_xlfn.LET(
    _xlpm.s, TEXT($J2,"0"),
    _xlpm.seq, _xlfn.SEQUENCE(LEN(_xlpm.s)),
    _xlpm.c, MID(_xlpm.s, _xlpm.seq, 1),
    _xlfn.CONCAT(_xlfn.IFS(_xlpm.c="1","7",_xlpm.c="2","8",_xlpm.c="3","9",TRUE,_xlpm.c))
)</f>
        <v>777</v>
      </c>
      <c r="L2" t="str">
        <f>SUBSTITUTE(SUBSTITUTE(SUBSTITUTE(TEXT($J2,"0"),"1","⚊"),"2","⚋"),"3","𝌀")</f>
        <v>⚊⚊⚊</v>
      </c>
      <c r="M2" t="str">
        <f t="shared" ref="M2:N17" si="0">_xlfn.UNICHAR($C2)</f>
        <v>☰</v>
      </c>
      <c r="N2" t="str">
        <f t="shared" si="0"/>
        <v>☰</v>
      </c>
    </row>
    <row r="3" spans="1:14">
      <c r="B3" t="str">
        <f t="shared" ref="B3:B66" si="1">DEC2HEX($C3)</f>
        <v>2631</v>
      </c>
      <c r="C3" cm="1">
        <f t="array" ref="C3">IF($A3="",IF(ROW()=1,"",INDEX(C:C,ROW()-1)+1),HEX2DEC($A3))</f>
        <v>9777</v>
      </c>
      <c r="D3">
        <v>2</v>
      </c>
      <c r="E3">
        <v>2</v>
      </c>
      <c r="F3" t="str">
        <f>_xlfn.UNICHAR($C3)</f>
        <v>☱</v>
      </c>
      <c r="G3" t="s">
        <v>26</v>
      </c>
      <c r="J3">
        <v>211</v>
      </c>
      <c r="K3" t="str" cm="1">
        <f t="array" ref="K3">_xlfn.LET(
    _xlpm.s, TEXT($J3,"0"),
    _xlpm.seq, _xlfn.SEQUENCE(LEN(_xlpm.s)),
    _xlpm.c, MID(_xlpm.s, _xlpm.seq, 1),
    _xlfn.CONCAT(_xlfn.IFS(_xlpm.c="1","7",_xlpm.c="2","8",_xlpm.c="3","9",TRUE,_xlpm.c))
)</f>
        <v>877</v>
      </c>
      <c r="L3" t="str">
        <f t="shared" ref="L3:L66" si="2">SUBSTITUTE(SUBSTITUTE(SUBSTITUTE(TEXT($J3,"0"),"1","⚊"),"2","⚋"),"3","𝌀")</f>
        <v>⚋⚊⚊</v>
      </c>
      <c r="M3" t="str">
        <f t="shared" si="0"/>
        <v>☱</v>
      </c>
      <c r="N3" t="str">
        <f t="shared" si="0"/>
        <v>☱</v>
      </c>
    </row>
    <row r="4" spans="1:14">
      <c r="B4" t="str">
        <f t="shared" si="1"/>
        <v>2632</v>
      </c>
      <c r="C4" cm="1">
        <f t="array" ref="C4">IF($A4="",IF(ROW()=1,"",INDEX(C:C,ROW()-1)+1),HEX2DEC($A4))</f>
        <v>9778</v>
      </c>
      <c r="D4">
        <v>3</v>
      </c>
      <c r="E4">
        <v>3</v>
      </c>
      <c r="F4" t="str">
        <f t="shared" ref="F4:F166" si="3">_xlfn.UNICHAR($C4)</f>
        <v>☲</v>
      </c>
      <c r="G4" t="s">
        <v>27</v>
      </c>
      <c r="J4">
        <v>121</v>
      </c>
      <c r="K4" t="str" cm="1">
        <f t="array" ref="K4">_xlfn.LET(
    _xlpm.s, TEXT($J4,"0"),
    _xlpm.seq, _xlfn.SEQUENCE(LEN(_xlpm.s)),
    _xlpm.c, MID(_xlpm.s, _xlpm.seq, 1),
    _xlfn.CONCAT(_xlfn.IFS(_xlpm.c="1","7",_xlpm.c="2","8",_xlpm.c="3","9",TRUE,_xlpm.c))
)</f>
        <v>787</v>
      </c>
      <c r="L4" t="str">
        <f t="shared" si="2"/>
        <v>⚊⚋⚊</v>
      </c>
      <c r="M4" t="str">
        <f t="shared" si="0"/>
        <v>☲</v>
      </c>
      <c r="N4" t="str">
        <f t="shared" si="0"/>
        <v>☲</v>
      </c>
    </row>
    <row r="5" spans="1:14">
      <c r="B5" t="str">
        <f t="shared" si="1"/>
        <v>2633</v>
      </c>
      <c r="C5" cm="1">
        <f t="array" ref="C5">IF($A5="",IF(ROW()=1,"",INDEX(C:C,ROW()-1)+1),HEX2DEC($A5))</f>
        <v>9779</v>
      </c>
      <c r="D5">
        <v>4</v>
      </c>
      <c r="E5">
        <v>4</v>
      </c>
      <c r="F5" t="str">
        <f t="shared" si="3"/>
        <v>☳</v>
      </c>
      <c r="G5" t="s">
        <v>28</v>
      </c>
      <c r="J5">
        <v>221</v>
      </c>
      <c r="K5" t="str" cm="1">
        <f t="array" ref="K5">_xlfn.LET(
    _xlpm.s, TEXT($J5,"0"),
    _xlpm.seq, _xlfn.SEQUENCE(LEN(_xlpm.s)),
    _xlpm.c, MID(_xlpm.s, _xlpm.seq, 1),
    _xlfn.CONCAT(_xlfn.IFS(_xlpm.c="1","7",_xlpm.c="2","8",_xlpm.c="3","9",TRUE,_xlpm.c))
)</f>
        <v>887</v>
      </c>
      <c r="L5" t="str">
        <f t="shared" si="2"/>
        <v>⚋⚋⚊</v>
      </c>
      <c r="M5" t="str">
        <f t="shared" si="0"/>
        <v>☳</v>
      </c>
      <c r="N5" t="str">
        <f t="shared" si="0"/>
        <v>☳</v>
      </c>
    </row>
    <row r="6" spans="1:14">
      <c r="B6" t="str">
        <f t="shared" si="1"/>
        <v>2634</v>
      </c>
      <c r="C6" cm="1">
        <f t="array" ref="C6">IF($A6="",IF(ROW()=1,"",INDEX(C:C,ROW()-1)+1),HEX2DEC($A6))</f>
        <v>9780</v>
      </c>
      <c r="D6">
        <v>5</v>
      </c>
      <c r="E6">
        <v>5</v>
      </c>
      <c r="F6" t="str">
        <f t="shared" si="3"/>
        <v>☴</v>
      </c>
      <c r="G6" t="s">
        <v>29</v>
      </c>
      <c r="J6">
        <v>112</v>
      </c>
      <c r="K6" t="str" cm="1">
        <f t="array" ref="K6">_xlfn.LET(
    _xlpm.s, TEXT($J6,"0"),
    _xlpm.seq, _xlfn.SEQUENCE(LEN(_xlpm.s)),
    _xlpm.c, MID(_xlpm.s, _xlpm.seq, 1),
    _xlfn.CONCAT(_xlfn.IFS(_xlpm.c="1","7",_xlpm.c="2","8",_xlpm.c="3","9",TRUE,_xlpm.c))
)</f>
        <v>778</v>
      </c>
      <c r="L6" t="str">
        <f t="shared" si="2"/>
        <v>⚊⚊⚋</v>
      </c>
      <c r="M6" t="str">
        <f t="shared" si="0"/>
        <v>☴</v>
      </c>
      <c r="N6" t="str">
        <f t="shared" si="0"/>
        <v>☴</v>
      </c>
    </row>
    <row r="7" spans="1:14">
      <c r="B7" t="str">
        <f t="shared" si="1"/>
        <v>2635</v>
      </c>
      <c r="C7" cm="1">
        <f t="array" ref="C7">IF($A7="",IF(ROW()=1,"",INDEX(C:C,ROW()-1)+1),HEX2DEC($A7))</f>
        <v>9781</v>
      </c>
      <c r="D7">
        <v>6</v>
      </c>
      <c r="E7">
        <v>6</v>
      </c>
      <c r="F7" t="str">
        <f t="shared" si="3"/>
        <v>☵</v>
      </c>
      <c r="G7" t="s">
        <v>30</v>
      </c>
      <c r="J7">
        <v>212</v>
      </c>
      <c r="K7" t="str" cm="1">
        <f t="array" ref="K7">_xlfn.LET(
    _xlpm.s, TEXT($J7,"0"),
    _xlpm.seq, _xlfn.SEQUENCE(LEN(_xlpm.s)),
    _xlpm.c, MID(_xlpm.s, _xlpm.seq, 1),
    _xlfn.CONCAT(_xlfn.IFS(_xlpm.c="1","7",_xlpm.c="2","8",_xlpm.c="3","9",TRUE,_xlpm.c))
)</f>
        <v>878</v>
      </c>
      <c r="L7" t="str">
        <f t="shared" si="2"/>
        <v>⚋⚊⚋</v>
      </c>
      <c r="M7" t="str">
        <f t="shared" si="0"/>
        <v>☵</v>
      </c>
      <c r="N7" t="str">
        <f t="shared" si="0"/>
        <v>☵</v>
      </c>
    </row>
    <row r="8" spans="1:14">
      <c r="B8" t="str">
        <f t="shared" si="1"/>
        <v>2636</v>
      </c>
      <c r="C8" cm="1">
        <f t="array" ref="C8">IF($A8="",IF(ROW()=1,"",INDEX(C:C,ROW()-1)+1),HEX2DEC($A8))</f>
        <v>9782</v>
      </c>
      <c r="D8">
        <v>7</v>
      </c>
      <c r="E8">
        <v>7</v>
      </c>
      <c r="F8" t="str">
        <f t="shared" si="3"/>
        <v>☶</v>
      </c>
      <c r="G8" t="s">
        <v>31</v>
      </c>
      <c r="J8">
        <v>122</v>
      </c>
      <c r="K8" t="str" cm="1">
        <f t="array" ref="K8">_xlfn.LET(
    _xlpm.s, TEXT($J8,"0"),
    _xlpm.seq, _xlfn.SEQUENCE(LEN(_xlpm.s)),
    _xlpm.c, MID(_xlpm.s, _xlpm.seq, 1),
    _xlfn.CONCAT(_xlfn.IFS(_xlpm.c="1","7",_xlpm.c="2","8",_xlpm.c="3","9",TRUE,_xlpm.c))
)</f>
        <v>788</v>
      </c>
      <c r="L8" t="str">
        <f t="shared" si="2"/>
        <v>⚊⚋⚋</v>
      </c>
      <c r="M8" t="str">
        <f t="shared" si="0"/>
        <v>☶</v>
      </c>
      <c r="N8" t="str">
        <f t="shared" si="0"/>
        <v>☶</v>
      </c>
    </row>
    <row r="9" spans="1:14">
      <c r="B9" t="str">
        <f t="shared" si="1"/>
        <v>2637</v>
      </c>
      <c r="C9" cm="1">
        <f t="array" ref="C9">IF($A9="",IF(ROW()=1,"",INDEX(C:C,ROW()-1)+1),HEX2DEC($A9))</f>
        <v>9783</v>
      </c>
      <c r="D9">
        <v>8</v>
      </c>
      <c r="E9">
        <v>8</v>
      </c>
      <c r="F9" t="str">
        <f t="shared" si="3"/>
        <v>☷</v>
      </c>
      <c r="G9" t="s">
        <v>32</v>
      </c>
      <c r="J9">
        <v>222</v>
      </c>
      <c r="K9" t="str" cm="1">
        <f t="array" ref="K9">_xlfn.LET(
    _xlpm.s, TEXT($J9,"0"),
    _xlpm.seq, _xlfn.SEQUENCE(LEN(_xlpm.s)),
    _xlpm.c, MID(_xlpm.s, _xlpm.seq, 1),
    _xlfn.CONCAT(_xlfn.IFS(_xlpm.c="1","7",_xlpm.c="2","8",_xlpm.c="3","9",TRUE,_xlpm.c))
)</f>
        <v>888</v>
      </c>
      <c r="L9" t="str">
        <f t="shared" si="2"/>
        <v>⚋⚋⚋</v>
      </c>
      <c r="M9" t="str">
        <f t="shared" si="0"/>
        <v>☷</v>
      </c>
      <c r="N9" t="str">
        <f t="shared" si="0"/>
        <v>☷</v>
      </c>
    </row>
    <row r="10" spans="1:14">
      <c r="A10" t="s">
        <v>0</v>
      </c>
      <c r="B10" t="str">
        <f t="shared" si="1"/>
        <v>268A</v>
      </c>
      <c r="C10" cm="1">
        <f t="array" ref="C10">IF($A10="",IF(ROW()=1,"",INDEX(C:C,ROW()-1)+1),HEX2DEC($A10))</f>
        <v>9866</v>
      </c>
      <c r="D10">
        <v>9</v>
      </c>
      <c r="E10">
        <v>1</v>
      </c>
      <c r="F10" t="str">
        <f t="shared" si="3"/>
        <v>⚊</v>
      </c>
      <c r="G10" t="s">
        <v>17</v>
      </c>
      <c r="H10" t="s">
        <v>19</v>
      </c>
      <c r="J10">
        <v>1</v>
      </c>
      <c r="K10" t="str" cm="1">
        <f t="array" ref="K10">_xlfn.LET(
    _xlpm.s, TEXT($J10,"0"),
    _xlpm.seq, _xlfn.SEQUENCE(LEN(_xlpm.s)),
    _xlpm.c, MID(_xlpm.s, _xlpm.seq, 1),
    _xlfn.CONCAT(_xlfn.IFS(_xlpm.c="1","7",_xlpm.c="2","8",_xlpm.c="3","9",TRUE,_xlpm.c))
)</f>
        <v>7</v>
      </c>
      <c r="L10" t="str">
        <f t="shared" si="2"/>
        <v>⚊</v>
      </c>
      <c r="M10" t="str">
        <f t="shared" si="0"/>
        <v>⚊</v>
      </c>
      <c r="N10" t="str">
        <f t="shared" si="0"/>
        <v>⚊</v>
      </c>
    </row>
    <row r="11" spans="1:14">
      <c r="B11" t="str">
        <f t="shared" si="1"/>
        <v>268B</v>
      </c>
      <c r="C11" cm="1">
        <f t="array" ref="C11">IF($A11="",IF(ROW()=1,"",INDEX(C:C,ROW()-1)+1),HEX2DEC($A11))</f>
        <v>9867</v>
      </c>
      <c r="D11">
        <v>10</v>
      </c>
      <c r="E11">
        <v>2</v>
      </c>
      <c r="F11" t="str">
        <f t="shared" si="3"/>
        <v>⚋</v>
      </c>
      <c r="G11" t="s">
        <v>18</v>
      </c>
      <c r="H11" t="s">
        <v>20</v>
      </c>
      <c r="J11">
        <v>2</v>
      </c>
      <c r="K11" t="str" cm="1">
        <f t="array" ref="K11">_xlfn.LET(
    _xlpm.s, TEXT($J11,"0"),
    _xlpm.seq, _xlfn.SEQUENCE(LEN(_xlpm.s)),
    _xlpm.c, MID(_xlpm.s, _xlpm.seq, 1),
    _xlfn.CONCAT(_xlfn.IFS(_xlpm.c="1","7",_xlpm.c="2","8",_xlpm.c="3","9",TRUE,_xlpm.c))
)</f>
        <v>8</v>
      </c>
      <c r="L11" t="str">
        <f t="shared" si="2"/>
        <v>⚋</v>
      </c>
      <c r="M11" t="str">
        <f t="shared" si="0"/>
        <v>⚋</v>
      </c>
      <c r="N11" t="str">
        <f t="shared" si="0"/>
        <v>⚋</v>
      </c>
    </row>
    <row r="12" spans="1:14">
      <c r="B12" t="str">
        <f t="shared" si="1"/>
        <v>268C</v>
      </c>
      <c r="C12" cm="1">
        <f t="array" ref="C12">IF($A12="",IF(ROW()=1,"",INDEX(C:C,ROW()-1)+1),HEX2DEC($A12))</f>
        <v>9868</v>
      </c>
      <c r="D12">
        <v>11</v>
      </c>
      <c r="E12">
        <v>1</v>
      </c>
      <c r="F12" t="str">
        <f t="shared" si="3"/>
        <v>⚌</v>
      </c>
      <c r="G12" t="s">
        <v>21</v>
      </c>
      <c r="J12">
        <v>11</v>
      </c>
      <c r="K12" t="str" cm="1">
        <f t="array" ref="K12">_xlfn.LET(
    _xlpm.s, TEXT($J12,"0"),
    _xlpm.seq, _xlfn.SEQUENCE(LEN(_xlpm.s)),
    _xlpm.c, MID(_xlpm.s, _xlpm.seq, 1),
    _xlfn.CONCAT(_xlfn.IFS(_xlpm.c="1","7",_xlpm.c="2","8",_xlpm.c="3","9",TRUE,_xlpm.c))
)</f>
        <v>77</v>
      </c>
      <c r="L12" t="str">
        <f t="shared" si="2"/>
        <v>⚊⚊</v>
      </c>
      <c r="M12" t="str">
        <f t="shared" si="0"/>
        <v>⚌</v>
      </c>
      <c r="N12" t="str">
        <f t="shared" si="0"/>
        <v>⚌</v>
      </c>
    </row>
    <row r="13" spans="1:14">
      <c r="B13" t="str">
        <f t="shared" si="1"/>
        <v>268D</v>
      </c>
      <c r="C13" cm="1">
        <f t="array" ref="C13">IF($A13="",IF(ROW()=1,"",INDEX(C:C,ROW()-1)+1),HEX2DEC($A13))</f>
        <v>9869</v>
      </c>
      <c r="D13">
        <v>12</v>
      </c>
      <c r="E13">
        <v>2</v>
      </c>
      <c r="F13" t="str">
        <f t="shared" si="3"/>
        <v>⚍</v>
      </c>
      <c r="G13" t="s">
        <v>22</v>
      </c>
      <c r="J13">
        <v>21</v>
      </c>
      <c r="K13" t="str" cm="1">
        <f t="array" ref="K13">_xlfn.LET(
    _xlpm.s, TEXT($J13,"0"),
    _xlpm.seq, _xlfn.SEQUENCE(LEN(_xlpm.s)),
    _xlpm.c, MID(_xlpm.s, _xlpm.seq, 1),
    _xlfn.CONCAT(_xlfn.IFS(_xlpm.c="1","7",_xlpm.c="2","8",_xlpm.c="3","9",TRUE,_xlpm.c))
)</f>
        <v>87</v>
      </c>
      <c r="L13" t="str">
        <f t="shared" si="2"/>
        <v>⚋⚊</v>
      </c>
      <c r="M13" t="str">
        <f t="shared" si="0"/>
        <v>⚍</v>
      </c>
      <c r="N13" t="str">
        <f t="shared" si="0"/>
        <v>⚍</v>
      </c>
    </row>
    <row r="14" spans="1:14">
      <c r="B14" t="str">
        <f t="shared" si="1"/>
        <v>268E</v>
      </c>
      <c r="C14" cm="1">
        <f t="array" ref="C14">IF($A14="",IF(ROW()=1,"",INDEX(C:C,ROW()-1)+1),HEX2DEC($A14))</f>
        <v>9870</v>
      </c>
      <c r="D14">
        <v>13</v>
      </c>
      <c r="E14">
        <v>3</v>
      </c>
      <c r="F14" t="str">
        <f t="shared" si="3"/>
        <v>⚎</v>
      </c>
      <c r="G14" t="s">
        <v>23</v>
      </c>
      <c r="J14">
        <v>12</v>
      </c>
      <c r="K14" t="str" cm="1">
        <f t="array" ref="K14">_xlfn.LET(
    _xlpm.s, TEXT($J14,"0"),
    _xlpm.seq, _xlfn.SEQUENCE(LEN(_xlpm.s)),
    _xlpm.c, MID(_xlpm.s, _xlpm.seq, 1),
    _xlfn.CONCAT(_xlfn.IFS(_xlpm.c="1","7",_xlpm.c="2","8",_xlpm.c="3","9",TRUE,_xlpm.c))
)</f>
        <v>78</v>
      </c>
      <c r="L14" t="str">
        <f t="shared" si="2"/>
        <v>⚊⚋</v>
      </c>
      <c r="M14" t="str">
        <f t="shared" si="0"/>
        <v>⚎</v>
      </c>
      <c r="N14" t="str">
        <f t="shared" si="0"/>
        <v>⚎</v>
      </c>
    </row>
    <row r="15" spans="1:14">
      <c r="B15" t="str">
        <f t="shared" si="1"/>
        <v>268F</v>
      </c>
      <c r="C15" cm="1">
        <f t="array" ref="C15">IF($A15="",IF(ROW()=1,"",INDEX(C:C,ROW()-1)+1),HEX2DEC($A15))</f>
        <v>9871</v>
      </c>
      <c r="D15">
        <v>14</v>
      </c>
      <c r="E15">
        <v>4</v>
      </c>
      <c r="F15" t="str">
        <f t="shared" si="3"/>
        <v>⚏</v>
      </c>
      <c r="G15" t="s">
        <v>24</v>
      </c>
      <c r="J15">
        <v>22</v>
      </c>
      <c r="K15" t="str" cm="1">
        <f t="array" ref="K15">_xlfn.LET(
    _xlpm.s, TEXT($J15,"0"),
    _xlpm.seq, _xlfn.SEQUENCE(LEN(_xlpm.s)),
    _xlpm.c, MID(_xlpm.s, _xlpm.seq, 1),
    _xlfn.CONCAT(_xlfn.IFS(_xlpm.c="1","7",_xlpm.c="2","8",_xlpm.c="3","9",TRUE,_xlpm.c))
)</f>
        <v>88</v>
      </c>
      <c r="L15" t="str">
        <f t="shared" si="2"/>
        <v>⚋⚋</v>
      </c>
      <c r="M15" t="str">
        <f t="shared" si="0"/>
        <v>⚏</v>
      </c>
      <c r="N15" t="str">
        <f t="shared" si="0"/>
        <v>⚏</v>
      </c>
    </row>
    <row r="16" spans="1:14">
      <c r="A16" t="s">
        <v>3</v>
      </c>
      <c r="B16" t="str">
        <f t="shared" si="1"/>
        <v>4DC0</v>
      </c>
      <c r="C16" cm="1">
        <f t="array" ref="C16">IF($A16="",IF(ROW()=1,"",INDEX(C:C,ROW()-1)+1),HEX2DEC($A16))</f>
        <v>19904</v>
      </c>
      <c r="D16">
        <v>15</v>
      </c>
      <c r="E16">
        <v>1</v>
      </c>
      <c r="F16" t="str">
        <f t="shared" si="3"/>
        <v>䷀</v>
      </c>
      <c r="G16" t="s">
        <v>9</v>
      </c>
      <c r="J16">
        <v>111111</v>
      </c>
      <c r="K16" t="str" cm="1">
        <f t="array" ref="K16">_xlfn.LET(
    _xlpm.s, TEXT($J16,"0"),
    _xlpm.seq, _xlfn.SEQUENCE(LEN(_xlpm.s)),
    _xlpm.c, MID(_xlpm.s, _xlpm.seq, 1),
    _xlfn.CONCAT(_xlfn.IFS(_xlpm.c="1","7",_xlpm.c="2","8",_xlpm.c="3","9",TRUE,_xlpm.c))
)</f>
        <v>777777</v>
      </c>
      <c r="L16" t="str">
        <f t="shared" si="2"/>
        <v>⚊⚊⚊⚊⚊⚊</v>
      </c>
      <c r="M16" t="str">
        <f t="shared" si="0"/>
        <v>䷀</v>
      </c>
      <c r="N16" t="str">
        <f t="shared" si="0"/>
        <v>䷀</v>
      </c>
    </row>
    <row r="17" spans="2:14">
      <c r="B17" t="str">
        <f t="shared" si="1"/>
        <v>4DC1</v>
      </c>
      <c r="C17" cm="1">
        <f t="array" ref="C17">IF($A17="",IF(ROW()=1,"",INDEX(C:C,ROW()-1)+1),HEX2DEC($A17))</f>
        <v>19905</v>
      </c>
      <c r="D17">
        <v>16</v>
      </c>
      <c r="E17">
        <v>2</v>
      </c>
      <c r="F17" t="str">
        <f t="shared" si="3"/>
        <v>䷁</v>
      </c>
      <c r="G17" t="s">
        <v>16</v>
      </c>
      <c r="J17">
        <v>222222</v>
      </c>
      <c r="K17" t="str" cm="1">
        <f t="array" ref="K17">_xlfn.LET(
    _xlpm.s, TEXT($J17,"0"),
    _xlpm.seq, _xlfn.SEQUENCE(LEN(_xlpm.s)),
    _xlpm.c, MID(_xlpm.s, _xlpm.seq, 1),
    _xlfn.CONCAT(_xlfn.IFS(_xlpm.c="1","7",_xlpm.c="2","8",_xlpm.c="3","9",TRUE,_xlpm.c))
)</f>
        <v>888888</v>
      </c>
      <c r="L17" t="str">
        <f t="shared" si="2"/>
        <v>⚋⚋⚋⚋⚋⚋</v>
      </c>
      <c r="M17" t="str">
        <f t="shared" si="0"/>
        <v>䷁</v>
      </c>
      <c r="N17" t="str">
        <f t="shared" si="0"/>
        <v>䷁</v>
      </c>
    </row>
    <row r="18" spans="2:14">
      <c r="B18" t="str">
        <f t="shared" si="1"/>
        <v>4DC2</v>
      </c>
      <c r="C18" cm="1">
        <f t="array" ref="C18">IF($A18="",IF(ROW()=1,"",INDEX(C:C,ROW()-1)+1),HEX2DEC($A18))</f>
        <v>19906</v>
      </c>
      <c r="D18">
        <v>17</v>
      </c>
      <c r="E18">
        <v>3</v>
      </c>
      <c r="F18" t="str">
        <f t="shared" si="3"/>
        <v>䷂</v>
      </c>
      <c r="G18" t="s">
        <v>33</v>
      </c>
      <c r="J18">
        <v>212221</v>
      </c>
      <c r="K18" t="str" cm="1">
        <f t="array" ref="K18">_xlfn.LET(
    _xlpm.s, TEXT($J18,"0"),
    _xlpm.seq, _xlfn.SEQUENCE(LEN(_xlpm.s)),
    _xlpm.c, MID(_xlpm.s, _xlpm.seq, 1),
    _xlfn.CONCAT(_xlfn.IFS(_xlpm.c="1","7",_xlpm.c="2","8",_xlpm.c="3","9",TRUE,_xlpm.c))
)</f>
        <v>878887</v>
      </c>
      <c r="L18" t="str">
        <f t="shared" si="2"/>
        <v>⚋⚊⚋⚋⚋⚊</v>
      </c>
      <c r="M18" t="str">
        <f t="shared" ref="M18:N33" si="4">_xlfn.UNICHAR($C18)</f>
        <v>䷂</v>
      </c>
      <c r="N18" t="str">
        <f t="shared" si="4"/>
        <v>䷂</v>
      </c>
    </row>
    <row r="19" spans="2:14">
      <c r="B19" t="str">
        <f t="shared" si="1"/>
        <v>4DC3</v>
      </c>
      <c r="C19" cm="1">
        <f t="array" ref="C19">IF($A19="",IF(ROW()=1,"",INDEX(C:C,ROW()-1)+1),HEX2DEC($A19))</f>
        <v>19907</v>
      </c>
      <c r="D19">
        <v>18</v>
      </c>
      <c r="E19">
        <v>4</v>
      </c>
      <c r="F19" t="str">
        <f t="shared" si="3"/>
        <v>䷃</v>
      </c>
      <c r="G19" t="s">
        <v>34</v>
      </c>
      <c r="J19">
        <v>122212</v>
      </c>
      <c r="K19" t="str" cm="1">
        <f t="array" ref="K19">_xlfn.LET(
    _xlpm.s, TEXT($J19,"0"),
    _xlpm.seq, _xlfn.SEQUENCE(LEN(_xlpm.s)),
    _xlpm.c, MID(_xlpm.s, _xlpm.seq, 1),
    _xlfn.CONCAT(_xlfn.IFS(_xlpm.c="1","7",_xlpm.c="2","8",_xlpm.c="3","9",TRUE,_xlpm.c))
)</f>
        <v>788878</v>
      </c>
      <c r="L19" t="str">
        <f t="shared" si="2"/>
        <v>⚊⚋⚋⚋⚊⚋</v>
      </c>
      <c r="M19" t="str">
        <f t="shared" si="4"/>
        <v>䷃</v>
      </c>
      <c r="N19" t="str">
        <f t="shared" si="4"/>
        <v>䷃</v>
      </c>
    </row>
    <row r="20" spans="2:14">
      <c r="B20" t="str">
        <f t="shared" si="1"/>
        <v>4DC4</v>
      </c>
      <c r="C20" cm="1">
        <f t="array" ref="C20">IF($A20="",IF(ROW()=1,"",INDEX(C:C,ROW()-1)+1),HEX2DEC($A20))</f>
        <v>19908</v>
      </c>
      <c r="D20">
        <v>19</v>
      </c>
      <c r="E20">
        <v>5</v>
      </c>
      <c r="F20" t="str">
        <f t="shared" si="3"/>
        <v>䷄</v>
      </c>
      <c r="G20" t="s">
        <v>35</v>
      </c>
      <c r="J20">
        <v>212111</v>
      </c>
      <c r="K20" t="str" cm="1">
        <f t="array" ref="K20">_xlfn.LET(
    _xlpm.s, TEXT($J20,"0"),
    _xlpm.seq, _xlfn.SEQUENCE(LEN(_xlpm.s)),
    _xlpm.c, MID(_xlpm.s, _xlpm.seq, 1),
    _xlfn.CONCAT(_xlfn.IFS(_xlpm.c="1","7",_xlpm.c="2","8",_xlpm.c="3","9",TRUE,_xlpm.c))
)</f>
        <v>878777</v>
      </c>
      <c r="L20" t="str">
        <f t="shared" si="2"/>
        <v>⚋⚊⚋⚊⚊⚊</v>
      </c>
      <c r="M20" t="str">
        <f t="shared" si="4"/>
        <v>䷄</v>
      </c>
      <c r="N20" t="str">
        <f t="shared" si="4"/>
        <v>䷄</v>
      </c>
    </row>
    <row r="21" spans="2:14">
      <c r="B21" t="str">
        <f t="shared" si="1"/>
        <v>4DC5</v>
      </c>
      <c r="C21" cm="1">
        <f t="array" ref="C21">IF($A21="",IF(ROW()=1,"",INDEX(C:C,ROW()-1)+1),HEX2DEC($A21))</f>
        <v>19909</v>
      </c>
      <c r="D21">
        <v>20</v>
      </c>
      <c r="E21">
        <v>6</v>
      </c>
      <c r="F21" t="str">
        <f t="shared" si="3"/>
        <v>䷅</v>
      </c>
      <c r="G21" t="s">
        <v>36</v>
      </c>
      <c r="J21">
        <v>111212</v>
      </c>
      <c r="K21" t="str" cm="1">
        <f t="array" ref="K21">_xlfn.LET(
    _xlpm.s, TEXT($J21,"0"),
    _xlpm.seq, _xlfn.SEQUENCE(LEN(_xlpm.s)),
    _xlpm.c, MID(_xlpm.s, _xlpm.seq, 1),
    _xlfn.CONCAT(_xlfn.IFS(_xlpm.c="1","7",_xlpm.c="2","8",_xlpm.c="3","9",TRUE,_xlpm.c))
)</f>
        <v>777878</v>
      </c>
      <c r="L21" t="str">
        <f t="shared" si="2"/>
        <v>⚊⚊⚊⚋⚊⚋</v>
      </c>
      <c r="M21" t="str">
        <f t="shared" si="4"/>
        <v>䷅</v>
      </c>
      <c r="N21" t="str">
        <f t="shared" si="4"/>
        <v>䷅</v>
      </c>
    </row>
    <row r="22" spans="2:14">
      <c r="B22" t="str">
        <f t="shared" si="1"/>
        <v>4DC6</v>
      </c>
      <c r="C22" cm="1">
        <f t="array" ref="C22">IF($A22="",IF(ROW()=1,"",INDEX(C:C,ROW()-1)+1),HEX2DEC($A22))</f>
        <v>19910</v>
      </c>
      <c r="D22">
        <v>21</v>
      </c>
      <c r="E22">
        <v>7</v>
      </c>
      <c r="F22" t="str">
        <f t="shared" si="3"/>
        <v>䷆</v>
      </c>
      <c r="G22" t="s">
        <v>37</v>
      </c>
      <c r="J22">
        <v>222212</v>
      </c>
      <c r="K22" t="str" cm="1">
        <f t="array" ref="K22">_xlfn.LET(
    _xlpm.s, TEXT($J22,"0"),
    _xlpm.seq, _xlfn.SEQUENCE(LEN(_xlpm.s)),
    _xlpm.c, MID(_xlpm.s, _xlpm.seq, 1),
    _xlfn.CONCAT(_xlfn.IFS(_xlpm.c="1","7",_xlpm.c="2","8",_xlpm.c="3","9",TRUE,_xlpm.c))
)</f>
        <v>888878</v>
      </c>
      <c r="L22" t="str">
        <f t="shared" si="2"/>
        <v>⚋⚋⚋⚋⚊⚋</v>
      </c>
      <c r="M22" t="str">
        <f t="shared" si="4"/>
        <v>䷆</v>
      </c>
      <c r="N22" t="str">
        <f t="shared" si="4"/>
        <v>䷆</v>
      </c>
    </row>
    <row r="23" spans="2:14">
      <c r="B23" t="str">
        <f t="shared" si="1"/>
        <v>4DC7</v>
      </c>
      <c r="C23" cm="1">
        <f t="array" ref="C23">IF($A23="",IF(ROW()=1,"",INDEX(C:C,ROW()-1)+1),HEX2DEC($A23))</f>
        <v>19911</v>
      </c>
      <c r="D23">
        <v>22</v>
      </c>
      <c r="E23">
        <v>8</v>
      </c>
      <c r="F23" t="str">
        <f t="shared" si="3"/>
        <v>䷇</v>
      </c>
      <c r="G23" t="s">
        <v>38</v>
      </c>
      <c r="J23">
        <v>212222</v>
      </c>
      <c r="K23" t="str" cm="1">
        <f t="array" ref="K23">_xlfn.LET(
    _xlpm.s, TEXT($J23,"0"),
    _xlpm.seq, _xlfn.SEQUENCE(LEN(_xlpm.s)),
    _xlpm.c, MID(_xlpm.s, _xlpm.seq, 1),
    _xlfn.CONCAT(_xlfn.IFS(_xlpm.c="1","7",_xlpm.c="2","8",_xlpm.c="3","9",TRUE,_xlpm.c))
)</f>
        <v>878888</v>
      </c>
      <c r="L23" t="str">
        <f t="shared" si="2"/>
        <v>⚋⚊⚋⚋⚋⚋</v>
      </c>
      <c r="M23" t="str">
        <f t="shared" si="4"/>
        <v>䷇</v>
      </c>
      <c r="N23" t="str">
        <f t="shared" si="4"/>
        <v>䷇</v>
      </c>
    </row>
    <row r="24" spans="2:14">
      <c r="B24" t="str">
        <f t="shared" si="1"/>
        <v>4DC8</v>
      </c>
      <c r="C24" cm="1">
        <f t="array" ref="C24">IF($A24="",IF(ROW()=1,"",INDEX(C:C,ROW()-1)+1),HEX2DEC($A24))</f>
        <v>19912</v>
      </c>
      <c r="D24">
        <v>23</v>
      </c>
      <c r="E24">
        <v>9</v>
      </c>
      <c r="F24" t="str">
        <f t="shared" si="3"/>
        <v>䷈</v>
      </c>
      <c r="G24" t="s">
        <v>39</v>
      </c>
      <c r="J24">
        <v>112111</v>
      </c>
      <c r="K24" t="str" cm="1">
        <f t="array" ref="K24">_xlfn.LET(
    _xlpm.s, TEXT($J24,"0"),
    _xlpm.seq, _xlfn.SEQUENCE(LEN(_xlpm.s)),
    _xlpm.c, MID(_xlpm.s, _xlpm.seq, 1),
    _xlfn.CONCAT(_xlfn.IFS(_xlpm.c="1","7",_xlpm.c="2","8",_xlpm.c="3","9",TRUE,_xlpm.c))
)</f>
        <v>778777</v>
      </c>
      <c r="L24" t="str">
        <f t="shared" si="2"/>
        <v>⚊⚊⚋⚊⚊⚊</v>
      </c>
      <c r="M24" t="str">
        <f t="shared" si="4"/>
        <v>䷈</v>
      </c>
      <c r="N24" t="str">
        <f t="shared" si="4"/>
        <v>䷈</v>
      </c>
    </row>
    <row r="25" spans="2:14">
      <c r="B25" t="str">
        <f t="shared" si="1"/>
        <v>4DC9</v>
      </c>
      <c r="C25" cm="1">
        <f t="array" ref="C25">IF($A25="",IF(ROW()=1,"",INDEX(C:C,ROW()-1)+1),HEX2DEC($A25))</f>
        <v>19913</v>
      </c>
      <c r="D25">
        <v>24</v>
      </c>
      <c r="E25">
        <v>10</v>
      </c>
      <c r="F25" t="str">
        <f t="shared" si="3"/>
        <v>䷉</v>
      </c>
      <c r="G25" t="s">
        <v>40</v>
      </c>
      <c r="J25">
        <v>111211</v>
      </c>
      <c r="K25" t="str" cm="1">
        <f t="array" ref="K25">_xlfn.LET(
    _xlpm.s, TEXT($J25,"0"),
    _xlpm.seq, _xlfn.SEQUENCE(LEN(_xlpm.s)),
    _xlpm.c, MID(_xlpm.s, _xlpm.seq, 1),
    _xlfn.CONCAT(_xlfn.IFS(_xlpm.c="1","7",_xlpm.c="2","8",_xlpm.c="3","9",TRUE,_xlpm.c))
)</f>
        <v>777877</v>
      </c>
      <c r="L25" t="str">
        <f t="shared" si="2"/>
        <v>⚊⚊⚊⚋⚊⚊</v>
      </c>
      <c r="M25" t="str">
        <f t="shared" si="4"/>
        <v>䷉</v>
      </c>
      <c r="N25" t="str">
        <f t="shared" si="4"/>
        <v>䷉</v>
      </c>
    </row>
    <row r="26" spans="2:14">
      <c r="B26" t="str">
        <f t="shared" si="1"/>
        <v>4DCA</v>
      </c>
      <c r="C26" cm="1">
        <f t="array" ref="C26">IF($A26="",IF(ROW()=1,"",INDEX(C:C,ROW()-1)+1),HEX2DEC($A26))</f>
        <v>19914</v>
      </c>
      <c r="D26">
        <v>25</v>
      </c>
      <c r="E26">
        <v>11</v>
      </c>
      <c r="F26" t="str">
        <f t="shared" si="3"/>
        <v>䷊</v>
      </c>
      <c r="G26" t="s">
        <v>41</v>
      </c>
      <c r="J26">
        <v>222111</v>
      </c>
      <c r="K26" t="str" cm="1">
        <f t="array" ref="K26">_xlfn.LET(
    _xlpm.s, TEXT($J26,"0"),
    _xlpm.seq, _xlfn.SEQUENCE(LEN(_xlpm.s)),
    _xlpm.c, MID(_xlpm.s, _xlpm.seq, 1),
    _xlfn.CONCAT(_xlfn.IFS(_xlpm.c="1","7",_xlpm.c="2","8",_xlpm.c="3","9",TRUE,_xlpm.c))
)</f>
        <v>888777</v>
      </c>
      <c r="L26" t="str">
        <f t="shared" si="2"/>
        <v>⚋⚋⚋⚊⚊⚊</v>
      </c>
      <c r="M26" t="str">
        <f t="shared" si="4"/>
        <v>䷊</v>
      </c>
      <c r="N26" t="str">
        <f t="shared" si="4"/>
        <v>䷊</v>
      </c>
    </row>
    <row r="27" spans="2:14">
      <c r="B27" t="str">
        <f t="shared" si="1"/>
        <v>4DCB</v>
      </c>
      <c r="C27" cm="1">
        <f t="array" ref="C27">IF($A27="",IF(ROW()=1,"",INDEX(C:C,ROW()-1)+1),HEX2DEC($A27))</f>
        <v>19915</v>
      </c>
      <c r="D27">
        <v>26</v>
      </c>
      <c r="E27">
        <v>12</v>
      </c>
      <c r="F27" t="str">
        <f t="shared" si="3"/>
        <v>䷋</v>
      </c>
      <c r="G27" t="s">
        <v>42</v>
      </c>
      <c r="J27">
        <v>111222</v>
      </c>
      <c r="K27" t="str" cm="1">
        <f t="array" ref="K27">_xlfn.LET(
    _xlpm.s, TEXT($J27,"0"),
    _xlpm.seq, _xlfn.SEQUENCE(LEN(_xlpm.s)),
    _xlpm.c, MID(_xlpm.s, _xlpm.seq, 1),
    _xlfn.CONCAT(_xlfn.IFS(_xlpm.c="1","7",_xlpm.c="2","8",_xlpm.c="3","9",TRUE,_xlpm.c))
)</f>
        <v>777888</v>
      </c>
      <c r="L27" t="str">
        <f t="shared" si="2"/>
        <v>⚊⚊⚊⚋⚋⚋</v>
      </c>
      <c r="M27" t="str">
        <f t="shared" si="4"/>
        <v>䷋</v>
      </c>
      <c r="N27" t="str">
        <f t="shared" si="4"/>
        <v>䷋</v>
      </c>
    </row>
    <row r="28" spans="2:14">
      <c r="B28" t="str">
        <f t="shared" si="1"/>
        <v>4DCC</v>
      </c>
      <c r="C28" cm="1">
        <f t="array" ref="C28">IF($A28="",IF(ROW()=1,"",INDEX(C:C,ROW()-1)+1),HEX2DEC($A28))</f>
        <v>19916</v>
      </c>
      <c r="D28">
        <v>27</v>
      </c>
      <c r="E28">
        <v>13</v>
      </c>
      <c r="F28" t="str">
        <f t="shared" si="3"/>
        <v>䷌</v>
      </c>
      <c r="G28" t="s">
        <v>43</v>
      </c>
      <c r="J28">
        <v>111121</v>
      </c>
      <c r="K28" t="str" cm="1">
        <f t="array" ref="K28">_xlfn.LET(
    _xlpm.s, TEXT($J28,"0"),
    _xlpm.seq, _xlfn.SEQUENCE(LEN(_xlpm.s)),
    _xlpm.c, MID(_xlpm.s, _xlpm.seq, 1),
    _xlfn.CONCAT(_xlfn.IFS(_xlpm.c="1","7",_xlpm.c="2","8",_xlpm.c="3","9",TRUE,_xlpm.c))
)</f>
        <v>777787</v>
      </c>
      <c r="L28" t="str">
        <f t="shared" si="2"/>
        <v>⚊⚊⚊⚊⚋⚊</v>
      </c>
      <c r="M28" t="str">
        <f t="shared" si="4"/>
        <v>䷌</v>
      </c>
      <c r="N28" t="str">
        <f t="shared" si="4"/>
        <v>䷌</v>
      </c>
    </row>
    <row r="29" spans="2:14">
      <c r="B29" t="str">
        <f t="shared" si="1"/>
        <v>4DCD</v>
      </c>
      <c r="C29" cm="1">
        <f t="array" ref="C29">IF($A29="",IF(ROW()=1,"",INDEX(C:C,ROW()-1)+1),HEX2DEC($A29))</f>
        <v>19917</v>
      </c>
      <c r="D29">
        <v>28</v>
      </c>
      <c r="E29">
        <v>14</v>
      </c>
      <c r="F29" t="str">
        <f t="shared" si="3"/>
        <v>䷍</v>
      </c>
      <c r="G29" t="s">
        <v>44</v>
      </c>
      <c r="J29">
        <v>121111</v>
      </c>
      <c r="K29" t="str" cm="1">
        <f t="array" ref="K29">_xlfn.LET(
    _xlpm.s, TEXT($J29,"0"),
    _xlpm.seq, _xlfn.SEQUENCE(LEN(_xlpm.s)),
    _xlpm.c, MID(_xlpm.s, _xlpm.seq, 1),
    _xlfn.CONCAT(_xlfn.IFS(_xlpm.c="1","7",_xlpm.c="2","8",_xlpm.c="3","9",TRUE,_xlpm.c))
)</f>
        <v>787777</v>
      </c>
      <c r="L29" t="str">
        <f t="shared" si="2"/>
        <v>⚊⚋⚊⚊⚊⚊</v>
      </c>
      <c r="M29" t="str">
        <f t="shared" si="4"/>
        <v>䷍</v>
      </c>
      <c r="N29" t="str">
        <f t="shared" si="4"/>
        <v>䷍</v>
      </c>
    </row>
    <row r="30" spans="2:14">
      <c r="B30" t="str">
        <f t="shared" si="1"/>
        <v>4DCE</v>
      </c>
      <c r="C30" cm="1">
        <f t="array" ref="C30">IF($A30="",IF(ROW()=1,"",INDEX(C:C,ROW()-1)+1),HEX2DEC($A30))</f>
        <v>19918</v>
      </c>
      <c r="D30">
        <v>29</v>
      </c>
      <c r="E30">
        <v>15</v>
      </c>
      <c r="F30" t="str">
        <f t="shared" si="3"/>
        <v>䷎</v>
      </c>
      <c r="G30" t="s">
        <v>45</v>
      </c>
      <c r="J30">
        <v>222122</v>
      </c>
      <c r="K30" t="str" cm="1">
        <f t="array" ref="K30">_xlfn.LET(
    _xlpm.s, TEXT($J30,"0"),
    _xlpm.seq, _xlfn.SEQUENCE(LEN(_xlpm.s)),
    _xlpm.c, MID(_xlpm.s, _xlpm.seq, 1),
    _xlfn.CONCAT(_xlfn.IFS(_xlpm.c="1","7",_xlpm.c="2","8",_xlpm.c="3","9",TRUE,_xlpm.c))
)</f>
        <v>888788</v>
      </c>
      <c r="L30" t="str">
        <f t="shared" si="2"/>
        <v>⚋⚋⚋⚊⚋⚋</v>
      </c>
      <c r="M30" t="str">
        <f t="shared" si="4"/>
        <v>䷎</v>
      </c>
      <c r="N30" t="str">
        <f t="shared" si="4"/>
        <v>䷎</v>
      </c>
    </row>
    <row r="31" spans="2:14">
      <c r="B31" t="str">
        <f t="shared" si="1"/>
        <v>4DCF</v>
      </c>
      <c r="C31" cm="1">
        <f t="array" ref="C31">IF($A31="",IF(ROW()=1,"",INDEX(C:C,ROW()-1)+1),HEX2DEC($A31))</f>
        <v>19919</v>
      </c>
      <c r="D31">
        <v>30</v>
      </c>
      <c r="E31">
        <v>16</v>
      </c>
      <c r="F31" t="str">
        <f t="shared" si="3"/>
        <v>䷏</v>
      </c>
      <c r="G31" t="s">
        <v>46</v>
      </c>
      <c r="J31">
        <v>221222</v>
      </c>
      <c r="K31" t="str" cm="1">
        <f t="array" ref="K31">_xlfn.LET(
    _xlpm.s, TEXT($J31,"0"),
    _xlpm.seq, _xlfn.SEQUENCE(LEN(_xlpm.s)),
    _xlpm.c, MID(_xlpm.s, _xlpm.seq, 1),
    _xlfn.CONCAT(_xlfn.IFS(_xlpm.c="1","7",_xlpm.c="2","8",_xlpm.c="3","9",TRUE,_xlpm.c))
)</f>
        <v>887888</v>
      </c>
      <c r="L31" t="str">
        <f t="shared" si="2"/>
        <v>⚋⚋⚊⚋⚋⚋</v>
      </c>
      <c r="M31" t="str">
        <f t="shared" si="4"/>
        <v>䷏</v>
      </c>
      <c r="N31" t="str">
        <f t="shared" si="4"/>
        <v>䷏</v>
      </c>
    </row>
    <row r="32" spans="2:14">
      <c r="B32" t="str">
        <f t="shared" si="1"/>
        <v>4DD0</v>
      </c>
      <c r="C32" cm="1">
        <f t="array" ref="C32">IF($A32="",IF(ROW()=1,"",INDEX(C:C,ROW()-1)+1),HEX2DEC($A32))</f>
        <v>19920</v>
      </c>
      <c r="D32">
        <v>31</v>
      </c>
      <c r="E32">
        <v>17</v>
      </c>
      <c r="F32" t="str">
        <f t="shared" si="3"/>
        <v>䷐</v>
      </c>
      <c r="G32" t="s">
        <v>47</v>
      </c>
      <c r="J32">
        <v>211221</v>
      </c>
      <c r="K32" t="str" cm="1">
        <f t="array" ref="K32">_xlfn.LET(
    _xlpm.s, TEXT($J32,"0"),
    _xlpm.seq, _xlfn.SEQUENCE(LEN(_xlpm.s)),
    _xlpm.c, MID(_xlpm.s, _xlpm.seq, 1),
    _xlfn.CONCAT(_xlfn.IFS(_xlpm.c="1","7",_xlpm.c="2","8",_xlpm.c="3","9",TRUE,_xlpm.c))
)</f>
        <v>877887</v>
      </c>
      <c r="L32" t="str">
        <f t="shared" si="2"/>
        <v>⚋⚊⚊⚋⚋⚊</v>
      </c>
      <c r="M32" t="str">
        <f t="shared" si="4"/>
        <v>䷐</v>
      </c>
      <c r="N32" t="str">
        <f t="shared" si="4"/>
        <v>䷐</v>
      </c>
    </row>
    <row r="33" spans="2:14">
      <c r="B33" t="str">
        <f t="shared" si="1"/>
        <v>4DD1</v>
      </c>
      <c r="C33" cm="1">
        <f t="array" ref="C33">IF($A33="",IF(ROW()=1,"",INDEX(C:C,ROW()-1)+1),HEX2DEC($A33))</f>
        <v>19921</v>
      </c>
      <c r="D33">
        <v>32</v>
      </c>
      <c r="E33">
        <v>18</v>
      </c>
      <c r="F33" t="str">
        <f t="shared" si="3"/>
        <v>䷑</v>
      </c>
      <c r="G33" t="s">
        <v>48</v>
      </c>
      <c r="J33">
        <v>122112</v>
      </c>
      <c r="K33" t="str" cm="1">
        <f t="array" ref="K33">_xlfn.LET(
    _xlpm.s, TEXT($J33,"0"),
    _xlpm.seq, _xlfn.SEQUENCE(LEN(_xlpm.s)),
    _xlpm.c, MID(_xlpm.s, _xlpm.seq, 1),
    _xlfn.CONCAT(_xlfn.IFS(_xlpm.c="1","7",_xlpm.c="2","8",_xlpm.c="3","9",TRUE,_xlpm.c))
)</f>
        <v>788778</v>
      </c>
      <c r="L33" t="str">
        <f t="shared" si="2"/>
        <v>⚊⚋⚋⚊⚊⚋</v>
      </c>
      <c r="M33" t="str">
        <f t="shared" si="4"/>
        <v>䷑</v>
      </c>
      <c r="N33" t="str">
        <f t="shared" si="4"/>
        <v>䷑</v>
      </c>
    </row>
    <row r="34" spans="2:14">
      <c r="B34" t="str">
        <f t="shared" si="1"/>
        <v>4DD2</v>
      </c>
      <c r="C34" cm="1">
        <f t="array" ref="C34">IF($A34="",IF(ROW()=1,"",INDEX(C:C,ROW()-1)+1),HEX2DEC($A34))</f>
        <v>19922</v>
      </c>
      <c r="D34">
        <v>33</v>
      </c>
      <c r="E34">
        <v>19</v>
      </c>
      <c r="F34" t="str">
        <f t="shared" si="3"/>
        <v>䷒</v>
      </c>
      <c r="G34" t="s">
        <v>49</v>
      </c>
      <c r="J34">
        <v>222211</v>
      </c>
      <c r="K34" t="str" cm="1">
        <f t="array" ref="K34">_xlfn.LET(
    _xlpm.s, TEXT($J34,"0"),
    _xlpm.seq, _xlfn.SEQUENCE(LEN(_xlpm.s)),
    _xlpm.c, MID(_xlpm.s, _xlpm.seq, 1),
    _xlfn.CONCAT(_xlfn.IFS(_xlpm.c="1","7",_xlpm.c="2","8",_xlpm.c="3","9",TRUE,_xlpm.c))
)</f>
        <v>888877</v>
      </c>
      <c r="L34" t="str">
        <f t="shared" si="2"/>
        <v>⚋⚋⚋⚋⚊⚊</v>
      </c>
      <c r="M34" t="str">
        <f t="shared" ref="M34:N49" si="5">_xlfn.UNICHAR($C34)</f>
        <v>䷒</v>
      </c>
      <c r="N34" t="str">
        <f t="shared" si="5"/>
        <v>䷒</v>
      </c>
    </row>
    <row r="35" spans="2:14">
      <c r="B35" t="str">
        <f t="shared" si="1"/>
        <v>4DD3</v>
      </c>
      <c r="C35" cm="1">
        <f t="array" ref="C35">IF($A35="",IF(ROW()=1,"",INDEX(C:C,ROW()-1)+1),HEX2DEC($A35))</f>
        <v>19923</v>
      </c>
      <c r="D35">
        <v>34</v>
      </c>
      <c r="E35">
        <v>20</v>
      </c>
      <c r="F35" t="str">
        <f t="shared" si="3"/>
        <v>䷓</v>
      </c>
      <c r="G35" t="s">
        <v>50</v>
      </c>
      <c r="J35">
        <v>112222</v>
      </c>
      <c r="K35" t="str" cm="1">
        <f t="array" ref="K35">_xlfn.LET(
    _xlpm.s, TEXT($J35,"0"),
    _xlpm.seq, _xlfn.SEQUENCE(LEN(_xlpm.s)),
    _xlpm.c, MID(_xlpm.s, _xlpm.seq, 1),
    _xlfn.CONCAT(_xlfn.IFS(_xlpm.c="1","7",_xlpm.c="2","8",_xlpm.c="3","9",TRUE,_xlpm.c))
)</f>
        <v>778888</v>
      </c>
      <c r="L35" t="str">
        <f t="shared" si="2"/>
        <v>⚊⚊⚋⚋⚋⚋</v>
      </c>
      <c r="M35" t="str">
        <f t="shared" si="5"/>
        <v>䷓</v>
      </c>
      <c r="N35" t="str">
        <f t="shared" si="5"/>
        <v>䷓</v>
      </c>
    </row>
    <row r="36" spans="2:14">
      <c r="B36" t="str">
        <f t="shared" si="1"/>
        <v>4DD4</v>
      </c>
      <c r="C36" cm="1">
        <f t="array" ref="C36">IF($A36="",IF(ROW()=1,"",INDEX(C:C,ROW()-1)+1),HEX2DEC($A36))</f>
        <v>19924</v>
      </c>
      <c r="D36">
        <v>35</v>
      </c>
      <c r="E36">
        <v>21</v>
      </c>
      <c r="F36" t="str">
        <f t="shared" si="3"/>
        <v>䷔</v>
      </c>
      <c r="G36" t="s">
        <v>51</v>
      </c>
      <c r="J36">
        <v>121221</v>
      </c>
      <c r="K36" t="str" cm="1">
        <f t="array" ref="K36">_xlfn.LET(
    _xlpm.s, TEXT($J36,"0"),
    _xlpm.seq, _xlfn.SEQUENCE(LEN(_xlpm.s)),
    _xlpm.c, MID(_xlpm.s, _xlpm.seq, 1),
    _xlfn.CONCAT(_xlfn.IFS(_xlpm.c="1","7",_xlpm.c="2","8",_xlpm.c="3","9",TRUE,_xlpm.c))
)</f>
        <v>787887</v>
      </c>
      <c r="L36" t="str">
        <f t="shared" si="2"/>
        <v>⚊⚋⚊⚋⚋⚊</v>
      </c>
      <c r="M36" t="str">
        <f t="shared" si="5"/>
        <v>䷔</v>
      </c>
      <c r="N36" t="str">
        <f t="shared" si="5"/>
        <v>䷔</v>
      </c>
    </row>
    <row r="37" spans="2:14">
      <c r="B37" t="str">
        <f t="shared" si="1"/>
        <v>4DD5</v>
      </c>
      <c r="C37" cm="1">
        <f t="array" ref="C37">IF($A37="",IF(ROW()=1,"",INDEX(C:C,ROW()-1)+1),HEX2DEC($A37))</f>
        <v>19925</v>
      </c>
      <c r="D37">
        <v>36</v>
      </c>
      <c r="E37">
        <v>22</v>
      </c>
      <c r="F37" t="str">
        <f t="shared" si="3"/>
        <v>䷕</v>
      </c>
      <c r="G37" t="s">
        <v>52</v>
      </c>
      <c r="J37">
        <v>122121</v>
      </c>
      <c r="K37" t="str" cm="1">
        <f t="array" ref="K37">_xlfn.LET(
    _xlpm.s, TEXT($J37,"0"),
    _xlpm.seq, _xlfn.SEQUENCE(LEN(_xlpm.s)),
    _xlpm.c, MID(_xlpm.s, _xlpm.seq, 1),
    _xlfn.CONCAT(_xlfn.IFS(_xlpm.c="1","7",_xlpm.c="2","8",_xlpm.c="3","9",TRUE,_xlpm.c))
)</f>
        <v>788787</v>
      </c>
      <c r="L37" t="str">
        <f t="shared" si="2"/>
        <v>⚊⚋⚋⚊⚋⚊</v>
      </c>
      <c r="M37" t="str">
        <f t="shared" si="5"/>
        <v>䷕</v>
      </c>
      <c r="N37" t="str">
        <f t="shared" si="5"/>
        <v>䷕</v>
      </c>
    </row>
    <row r="38" spans="2:14">
      <c r="B38" t="str">
        <f t="shared" si="1"/>
        <v>4DD6</v>
      </c>
      <c r="C38" cm="1">
        <f t="array" ref="C38">IF($A38="",IF(ROW()=1,"",INDEX(C:C,ROW()-1)+1),HEX2DEC($A38))</f>
        <v>19926</v>
      </c>
      <c r="D38">
        <v>37</v>
      </c>
      <c r="E38">
        <v>23</v>
      </c>
      <c r="F38" t="str">
        <f t="shared" si="3"/>
        <v>䷖</v>
      </c>
      <c r="G38" t="s">
        <v>53</v>
      </c>
      <c r="J38">
        <v>122222</v>
      </c>
      <c r="K38" t="str" cm="1">
        <f t="array" ref="K38">_xlfn.LET(
    _xlpm.s, TEXT($J38,"0"),
    _xlpm.seq, _xlfn.SEQUENCE(LEN(_xlpm.s)),
    _xlpm.c, MID(_xlpm.s, _xlpm.seq, 1),
    _xlfn.CONCAT(_xlfn.IFS(_xlpm.c="1","7",_xlpm.c="2","8",_xlpm.c="3","9",TRUE,_xlpm.c))
)</f>
        <v>788888</v>
      </c>
      <c r="L38" t="str">
        <f t="shared" si="2"/>
        <v>⚊⚋⚋⚋⚋⚋</v>
      </c>
      <c r="M38" t="str">
        <f t="shared" si="5"/>
        <v>䷖</v>
      </c>
      <c r="N38" t="str">
        <f t="shared" si="5"/>
        <v>䷖</v>
      </c>
    </row>
    <row r="39" spans="2:14">
      <c r="B39" t="str">
        <f t="shared" si="1"/>
        <v>4DD7</v>
      </c>
      <c r="C39" cm="1">
        <f t="array" ref="C39">IF($A39="",IF(ROW()=1,"",INDEX(C:C,ROW()-1)+1),HEX2DEC($A39))</f>
        <v>19927</v>
      </c>
      <c r="D39">
        <v>38</v>
      </c>
      <c r="E39">
        <v>24</v>
      </c>
      <c r="F39" t="str">
        <f t="shared" si="3"/>
        <v>䷗</v>
      </c>
      <c r="G39" t="s">
        <v>54</v>
      </c>
      <c r="J39">
        <v>222221</v>
      </c>
      <c r="K39" t="str" cm="1">
        <f t="array" ref="K39">_xlfn.LET(
    _xlpm.s, TEXT($J39,"0"),
    _xlpm.seq, _xlfn.SEQUENCE(LEN(_xlpm.s)),
    _xlpm.c, MID(_xlpm.s, _xlpm.seq, 1),
    _xlfn.CONCAT(_xlfn.IFS(_xlpm.c="1","7",_xlpm.c="2","8",_xlpm.c="3","9",TRUE,_xlpm.c))
)</f>
        <v>888887</v>
      </c>
      <c r="L39" t="str">
        <f t="shared" si="2"/>
        <v>⚋⚋⚋⚋⚋⚊</v>
      </c>
      <c r="M39" t="str">
        <f t="shared" si="5"/>
        <v>䷗</v>
      </c>
      <c r="N39" t="str">
        <f t="shared" si="5"/>
        <v>䷗</v>
      </c>
    </row>
    <row r="40" spans="2:14">
      <c r="B40" t="str">
        <f t="shared" si="1"/>
        <v>4DD8</v>
      </c>
      <c r="C40" cm="1">
        <f t="array" ref="C40">IF($A40="",IF(ROW()=1,"",INDEX(C:C,ROW()-1)+1),HEX2DEC($A40))</f>
        <v>19928</v>
      </c>
      <c r="D40">
        <v>39</v>
      </c>
      <c r="E40">
        <v>25</v>
      </c>
      <c r="F40" t="str">
        <f t="shared" si="3"/>
        <v>䷘</v>
      </c>
      <c r="G40" t="s">
        <v>55</v>
      </c>
      <c r="J40">
        <v>111221</v>
      </c>
      <c r="K40" t="str" cm="1">
        <f t="array" ref="K40">_xlfn.LET(
    _xlpm.s, TEXT($J40,"0"),
    _xlpm.seq, _xlfn.SEQUENCE(LEN(_xlpm.s)),
    _xlpm.c, MID(_xlpm.s, _xlpm.seq, 1),
    _xlfn.CONCAT(_xlfn.IFS(_xlpm.c="1","7",_xlpm.c="2","8",_xlpm.c="3","9",TRUE,_xlpm.c))
)</f>
        <v>777887</v>
      </c>
      <c r="L40" t="str">
        <f t="shared" si="2"/>
        <v>⚊⚊⚊⚋⚋⚊</v>
      </c>
      <c r="M40" t="str">
        <f t="shared" si="5"/>
        <v>䷘</v>
      </c>
      <c r="N40" t="str">
        <f t="shared" si="5"/>
        <v>䷘</v>
      </c>
    </row>
    <row r="41" spans="2:14">
      <c r="B41" t="str">
        <f t="shared" si="1"/>
        <v>4DD9</v>
      </c>
      <c r="C41" cm="1">
        <f t="array" ref="C41">IF($A41="",IF(ROW()=1,"",INDEX(C:C,ROW()-1)+1),HEX2DEC($A41))</f>
        <v>19929</v>
      </c>
      <c r="D41">
        <v>40</v>
      </c>
      <c r="E41">
        <v>26</v>
      </c>
      <c r="F41" t="str">
        <f t="shared" si="3"/>
        <v>䷙</v>
      </c>
      <c r="G41" t="s">
        <v>56</v>
      </c>
      <c r="J41">
        <v>122111</v>
      </c>
      <c r="K41" t="str" cm="1">
        <f t="array" ref="K41">_xlfn.LET(
    _xlpm.s, TEXT($J41,"0"),
    _xlpm.seq, _xlfn.SEQUENCE(LEN(_xlpm.s)),
    _xlpm.c, MID(_xlpm.s, _xlpm.seq, 1),
    _xlfn.CONCAT(_xlfn.IFS(_xlpm.c="1","7",_xlpm.c="2","8",_xlpm.c="3","9",TRUE,_xlpm.c))
)</f>
        <v>788777</v>
      </c>
      <c r="L41" t="str">
        <f t="shared" si="2"/>
        <v>⚊⚋⚋⚊⚊⚊</v>
      </c>
      <c r="M41" t="str">
        <f t="shared" si="5"/>
        <v>䷙</v>
      </c>
      <c r="N41" t="str">
        <f t="shared" si="5"/>
        <v>䷙</v>
      </c>
    </row>
    <row r="42" spans="2:14">
      <c r="B42" t="str">
        <f t="shared" si="1"/>
        <v>4DDA</v>
      </c>
      <c r="C42" cm="1">
        <f t="array" ref="C42">IF($A42="",IF(ROW()=1,"",INDEX(C:C,ROW()-1)+1),HEX2DEC($A42))</f>
        <v>19930</v>
      </c>
      <c r="D42">
        <v>41</v>
      </c>
      <c r="E42">
        <v>27</v>
      </c>
      <c r="F42" t="str">
        <f t="shared" si="3"/>
        <v>䷚</v>
      </c>
      <c r="G42" t="s">
        <v>57</v>
      </c>
      <c r="J42">
        <v>122221</v>
      </c>
      <c r="K42" t="str" cm="1">
        <f t="array" ref="K42">_xlfn.LET(
    _xlpm.s, TEXT($J42,"0"),
    _xlpm.seq, _xlfn.SEQUENCE(LEN(_xlpm.s)),
    _xlpm.c, MID(_xlpm.s, _xlpm.seq, 1),
    _xlfn.CONCAT(_xlfn.IFS(_xlpm.c="1","7",_xlpm.c="2","8",_xlpm.c="3","9",TRUE,_xlpm.c))
)</f>
        <v>788887</v>
      </c>
      <c r="L42" t="str">
        <f t="shared" si="2"/>
        <v>⚊⚋⚋⚋⚋⚊</v>
      </c>
      <c r="M42" t="str">
        <f t="shared" si="5"/>
        <v>䷚</v>
      </c>
      <c r="N42" t="str">
        <f t="shared" si="5"/>
        <v>䷚</v>
      </c>
    </row>
    <row r="43" spans="2:14">
      <c r="B43" t="str">
        <f t="shared" si="1"/>
        <v>4DDB</v>
      </c>
      <c r="C43" cm="1">
        <f t="array" ref="C43">IF($A43="",IF(ROW()=1,"",INDEX(C:C,ROW()-1)+1),HEX2DEC($A43))</f>
        <v>19931</v>
      </c>
      <c r="D43">
        <v>42</v>
      </c>
      <c r="E43">
        <v>28</v>
      </c>
      <c r="F43" t="str">
        <f t="shared" si="3"/>
        <v>䷛</v>
      </c>
      <c r="G43" t="s">
        <v>58</v>
      </c>
      <c r="J43">
        <v>211112</v>
      </c>
      <c r="K43" t="str" cm="1">
        <f t="array" ref="K43">_xlfn.LET(
    _xlpm.s, TEXT($J43,"0"),
    _xlpm.seq, _xlfn.SEQUENCE(LEN(_xlpm.s)),
    _xlpm.c, MID(_xlpm.s, _xlpm.seq, 1),
    _xlfn.CONCAT(_xlfn.IFS(_xlpm.c="1","7",_xlpm.c="2","8",_xlpm.c="3","9",TRUE,_xlpm.c))
)</f>
        <v>877778</v>
      </c>
      <c r="L43" t="str">
        <f t="shared" si="2"/>
        <v>⚋⚊⚊⚊⚊⚋</v>
      </c>
      <c r="M43" t="str">
        <f t="shared" si="5"/>
        <v>䷛</v>
      </c>
      <c r="N43" t="str">
        <f t="shared" si="5"/>
        <v>䷛</v>
      </c>
    </row>
    <row r="44" spans="2:14">
      <c r="B44" t="str">
        <f t="shared" si="1"/>
        <v>4DDC</v>
      </c>
      <c r="C44" cm="1">
        <f t="array" ref="C44">IF($A44="",IF(ROW()=1,"",INDEX(C:C,ROW()-1)+1),HEX2DEC($A44))</f>
        <v>19932</v>
      </c>
      <c r="D44">
        <v>43</v>
      </c>
      <c r="E44">
        <v>29</v>
      </c>
      <c r="F44" t="str">
        <f t="shared" si="3"/>
        <v>䷜</v>
      </c>
      <c r="G44" t="s">
        <v>14</v>
      </c>
      <c r="J44">
        <v>212212</v>
      </c>
      <c r="K44" t="str" cm="1">
        <f t="array" ref="K44">_xlfn.LET(
    _xlpm.s, TEXT($J44,"0"),
    _xlpm.seq, _xlfn.SEQUENCE(LEN(_xlpm.s)),
    _xlpm.c, MID(_xlpm.s, _xlpm.seq, 1),
    _xlfn.CONCAT(_xlfn.IFS(_xlpm.c="1","7",_xlpm.c="2","8",_xlpm.c="3","9",TRUE,_xlpm.c))
)</f>
        <v>878878</v>
      </c>
      <c r="L44" t="str">
        <f t="shared" si="2"/>
        <v>⚋⚊⚋⚋⚊⚋</v>
      </c>
      <c r="M44" t="str">
        <f t="shared" si="5"/>
        <v>䷜</v>
      </c>
      <c r="N44" t="str">
        <f t="shared" si="5"/>
        <v>䷜</v>
      </c>
    </row>
    <row r="45" spans="2:14">
      <c r="B45" t="str">
        <f t="shared" si="1"/>
        <v>4DDD</v>
      </c>
      <c r="C45" cm="1">
        <f t="array" ref="C45">IF($A45="",IF(ROW()=1,"",INDEX(C:C,ROW()-1)+1),HEX2DEC($A45))</f>
        <v>19933</v>
      </c>
      <c r="D45">
        <v>44</v>
      </c>
      <c r="E45">
        <v>30</v>
      </c>
      <c r="F45" t="str">
        <f t="shared" si="3"/>
        <v>䷝</v>
      </c>
      <c r="G45" t="s">
        <v>11</v>
      </c>
      <c r="J45">
        <v>121121</v>
      </c>
      <c r="K45" t="str" cm="1">
        <f t="array" ref="K45">_xlfn.LET(
    _xlpm.s, TEXT($J45,"0"),
    _xlpm.seq, _xlfn.SEQUENCE(LEN(_xlpm.s)),
    _xlpm.c, MID(_xlpm.s, _xlpm.seq, 1),
    _xlfn.CONCAT(_xlfn.IFS(_xlpm.c="1","7",_xlpm.c="2","8",_xlpm.c="3","9",TRUE,_xlpm.c))
)</f>
        <v>787787</v>
      </c>
      <c r="L45" t="str">
        <f t="shared" si="2"/>
        <v>⚊⚋⚊⚊⚋⚊</v>
      </c>
      <c r="M45" t="str">
        <f t="shared" si="5"/>
        <v>䷝</v>
      </c>
      <c r="N45" t="str">
        <f t="shared" si="5"/>
        <v>䷝</v>
      </c>
    </row>
    <row r="46" spans="2:14">
      <c r="B46" t="str">
        <f t="shared" si="1"/>
        <v>4DDE</v>
      </c>
      <c r="C46" cm="1">
        <f t="array" ref="C46">IF($A46="",IF(ROW()=1,"",INDEX(C:C,ROW()-1)+1),HEX2DEC($A46))</f>
        <v>19934</v>
      </c>
      <c r="D46">
        <v>45</v>
      </c>
      <c r="E46">
        <v>31</v>
      </c>
      <c r="F46" t="str">
        <f t="shared" si="3"/>
        <v>䷞</v>
      </c>
      <c r="G46" t="s">
        <v>59</v>
      </c>
      <c r="J46">
        <v>211122</v>
      </c>
      <c r="K46" t="str" cm="1">
        <f t="array" ref="K46">_xlfn.LET(
    _xlpm.s, TEXT($J46,"0"),
    _xlpm.seq, _xlfn.SEQUENCE(LEN(_xlpm.s)),
    _xlpm.c, MID(_xlpm.s, _xlpm.seq, 1),
    _xlfn.CONCAT(_xlfn.IFS(_xlpm.c="1","7",_xlpm.c="2","8",_xlpm.c="3","9",TRUE,_xlpm.c))
)</f>
        <v>877788</v>
      </c>
      <c r="L46" t="str">
        <f t="shared" si="2"/>
        <v>⚋⚊⚊⚊⚋⚋</v>
      </c>
      <c r="M46" t="str">
        <f t="shared" si="5"/>
        <v>䷞</v>
      </c>
      <c r="N46" t="str">
        <f t="shared" si="5"/>
        <v>䷞</v>
      </c>
    </row>
    <row r="47" spans="2:14">
      <c r="B47" t="str">
        <f t="shared" si="1"/>
        <v>4DDF</v>
      </c>
      <c r="C47" cm="1">
        <f t="array" ref="C47">IF($A47="",IF(ROW()=1,"",INDEX(C:C,ROW()-1)+1),HEX2DEC($A47))</f>
        <v>19935</v>
      </c>
      <c r="D47">
        <v>46</v>
      </c>
      <c r="E47">
        <v>32</v>
      </c>
      <c r="F47" t="str">
        <f t="shared" si="3"/>
        <v>䷟</v>
      </c>
      <c r="G47" t="s">
        <v>60</v>
      </c>
      <c r="J47">
        <v>221112</v>
      </c>
      <c r="K47" t="str" cm="1">
        <f t="array" ref="K47">_xlfn.LET(
    _xlpm.s, TEXT($J47,"0"),
    _xlpm.seq, _xlfn.SEQUENCE(LEN(_xlpm.s)),
    _xlpm.c, MID(_xlpm.s, _xlpm.seq, 1),
    _xlfn.CONCAT(_xlfn.IFS(_xlpm.c="1","7",_xlpm.c="2","8",_xlpm.c="3","9",TRUE,_xlpm.c))
)</f>
        <v>887778</v>
      </c>
      <c r="L47" t="str">
        <f t="shared" si="2"/>
        <v>⚋⚋⚊⚊⚊⚋</v>
      </c>
      <c r="M47" t="str">
        <f t="shared" si="5"/>
        <v>䷟</v>
      </c>
      <c r="N47" t="str">
        <f t="shared" si="5"/>
        <v>䷟</v>
      </c>
    </row>
    <row r="48" spans="2:14">
      <c r="B48" t="str">
        <f t="shared" si="1"/>
        <v>4DE0</v>
      </c>
      <c r="C48" cm="1">
        <f t="array" ref="C48">IF($A48="",IF(ROW()=1,"",INDEX(C:C,ROW()-1)+1),HEX2DEC($A48))</f>
        <v>19936</v>
      </c>
      <c r="D48">
        <v>47</v>
      </c>
      <c r="E48">
        <v>33</v>
      </c>
      <c r="F48" t="str">
        <f t="shared" si="3"/>
        <v>䷠</v>
      </c>
      <c r="G48" t="s">
        <v>61</v>
      </c>
      <c r="J48">
        <v>111122</v>
      </c>
      <c r="K48" t="str" cm="1">
        <f t="array" ref="K48">_xlfn.LET(
    _xlpm.s, TEXT($J48,"0"),
    _xlpm.seq, _xlfn.SEQUENCE(LEN(_xlpm.s)),
    _xlpm.c, MID(_xlpm.s, _xlpm.seq, 1),
    _xlfn.CONCAT(_xlfn.IFS(_xlpm.c="1","7",_xlpm.c="2","8",_xlpm.c="3","9",TRUE,_xlpm.c))
)</f>
        <v>777788</v>
      </c>
      <c r="L48" t="str">
        <f t="shared" si="2"/>
        <v>⚊⚊⚊⚊⚋⚋</v>
      </c>
      <c r="M48" t="str">
        <f t="shared" si="5"/>
        <v>䷠</v>
      </c>
      <c r="N48" t="str">
        <f t="shared" si="5"/>
        <v>䷠</v>
      </c>
    </row>
    <row r="49" spans="2:14">
      <c r="B49" t="str">
        <f t="shared" si="1"/>
        <v>4DE1</v>
      </c>
      <c r="C49" cm="1">
        <f t="array" ref="C49">IF($A49="",IF(ROW()=1,"",INDEX(C:C,ROW()-1)+1),HEX2DEC($A49))</f>
        <v>19937</v>
      </c>
      <c r="D49">
        <v>48</v>
      </c>
      <c r="E49">
        <v>34</v>
      </c>
      <c r="F49" t="str">
        <f t="shared" si="3"/>
        <v>䷡</v>
      </c>
      <c r="G49" t="s">
        <v>62</v>
      </c>
      <c r="J49">
        <v>221111</v>
      </c>
      <c r="K49" t="str" cm="1">
        <f t="array" ref="K49">_xlfn.LET(
    _xlpm.s, TEXT($J49,"0"),
    _xlpm.seq, _xlfn.SEQUENCE(LEN(_xlpm.s)),
    _xlpm.c, MID(_xlpm.s, _xlpm.seq, 1),
    _xlfn.CONCAT(_xlfn.IFS(_xlpm.c="1","7",_xlpm.c="2","8",_xlpm.c="3","9",TRUE,_xlpm.c))
)</f>
        <v>887777</v>
      </c>
      <c r="L49" t="str">
        <f t="shared" si="2"/>
        <v>⚋⚋⚊⚊⚊⚊</v>
      </c>
      <c r="M49" t="str">
        <f t="shared" si="5"/>
        <v>䷡</v>
      </c>
      <c r="N49" t="str">
        <f t="shared" si="5"/>
        <v>䷡</v>
      </c>
    </row>
    <row r="50" spans="2:14">
      <c r="B50" t="str">
        <f t="shared" si="1"/>
        <v>4DE2</v>
      </c>
      <c r="C50" cm="1">
        <f t="array" ref="C50">IF($A50="",IF(ROW()=1,"",INDEX(C:C,ROW()-1)+1),HEX2DEC($A50))</f>
        <v>19938</v>
      </c>
      <c r="D50">
        <v>49</v>
      </c>
      <c r="E50">
        <v>35</v>
      </c>
      <c r="F50" t="str">
        <f t="shared" si="3"/>
        <v>䷢</v>
      </c>
      <c r="G50" t="s">
        <v>63</v>
      </c>
      <c r="J50">
        <v>121222</v>
      </c>
      <c r="K50" t="str" cm="1">
        <f t="array" ref="K50">_xlfn.LET(
    _xlpm.s, TEXT($J50,"0"),
    _xlpm.seq, _xlfn.SEQUENCE(LEN(_xlpm.s)),
    _xlpm.c, MID(_xlpm.s, _xlpm.seq, 1),
    _xlfn.CONCAT(_xlfn.IFS(_xlpm.c="1","7",_xlpm.c="2","8",_xlpm.c="3","9",TRUE,_xlpm.c))
)</f>
        <v>787888</v>
      </c>
      <c r="L50" t="str">
        <f t="shared" si="2"/>
        <v>⚊⚋⚊⚋⚋⚋</v>
      </c>
      <c r="M50" t="str">
        <f t="shared" ref="M50:N65" si="6">_xlfn.UNICHAR($C50)</f>
        <v>䷢</v>
      </c>
      <c r="N50" t="str">
        <f t="shared" si="6"/>
        <v>䷢</v>
      </c>
    </row>
    <row r="51" spans="2:14">
      <c r="B51" t="str">
        <f t="shared" si="1"/>
        <v>4DE3</v>
      </c>
      <c r="C51" cm="1">
        <f t="array" ref="C51">IF($A51="",IF(ROW()=1,"",INDEX(C:C,ROW()-1)+1),HEX2DEC($A51))</f>
        <v>19939</v>
      </c>
      <c r="D51">
        <v>50</v>
      </c>
      <c r="E51">
        <v>36</v>
      </c>
      <c r="F51" t="str">
        <f t="shared" si="3"/>
        <v>䷣</v>
      </c>
      <c r="G51" t="s">
        <v>64</v>
      </c>
      <c r="J51">
        <v>222121</v>
      </c>
      <c r="K51" t="str" cm="1">
        <f t="array" ref="K51">_xlfn.LET(
    _xlpm.s, TEXT($J51,"0"),
    _xlpm.seq, _xlfn.SEQUENCE(LEN(_xlpm.s)),
    _xlpm.c, MID(_xlpm.s, _xlpm.seq, 1),
    _xlfn.CONCAT(_xlfn.IFS(_xlpm.c="1","7",_xlpm.c="2","8",_xlpm.c="3","9",TRUE,_xlpm.c))
)</f>
        <v>888787</v>
      </c>
      <c r="L51" t="str">
        <f t="shared" si="2"/>
        <v>⚋⚋⚋⚊⚋⚊</v>
      </c>
      <c r="M51" t="str">
        <f t="shared" si="6"/>
        <v>䷣</v>
      </c>
      <c r="N51" t="str">
        <f t="shared" si="6"/>
        <v>䷣</v>
      </c>
    </row>
    <row r="52" spans="2:14">
      <c r="B52" t="str">
        <f t="shared" si="1"/>
        <v>4DE4</v>
      </c>
      <c r="C52" cm="1">
        <f t="array" ref="C52">IF($A52="",IF(ROW()=1,"",INDEX(C:C,ROW()-1)+1),HEX2DEC($A52))</f>
        <v>19940</v>
      </c>
      <c r="D52">
        <v>51</v>
      </c>
      <c r="E52">
        <v>37</v>
      </c>
      <c r="F52" t="str">
        <f t="shared" si="3"/>
        <v>䷤</v>
      </c>
      <c r="G52" t="s">
        <v>65</v>
      </c>
      <c r="J52">
        <v>112121</v>
      </c>
      <c r="K52" t="str" cm="1">
        <f t="array" ref="K52">_xlfn.LET(
    _xlpm.s, TEXT($J52,"0"),
    _xlpm.seq, _xlfn.SEQUENCE(LEN(_xlpm.s)),
    _xlpm.c, MID(_xlpm.s, _xlpm.seq, 1),
    _xlfn.CONCAT(_xlfn.IFS(_xlpm.c="1","7",_xlpm.c="2","8",_xlpm.c="3","9",TRUE,_xlpm.c))
)</f>
        <v>778787</v>
      </c>
      <c r="L52" t="str">
        <f t="shared" si="2"/>
        <v>⚊⚊⚋⚊⚋⚊</v>
      </c>
      <c r="M52" t="str">
        <f t="shared" si="6"/>
        <v>䷤</v>
      </c>
      <c r="N52" t="str">
        <f t="shared" si="6"/>
        <v>䷤</v>
      </c>
    </row>
    <row r="53" spans="2:14">
      <c r="B53" t="str">
        <f t="shared" si="1"/>
        <v>4DE5</v>
      </c>
      <c r="C53" cm="1">
        <f t="array" ref="C53">IF($A53="",IF(ROW()=1,"",INDEX(C:C,ROW()-1)+1),HEX2DEC($A53))</f>
        <v>19941</v>
      </c>
      <c r="D53">
        <v>52</v>
      </c>
      <c r="E53">
        <v>38</v>
      </c>
      <c r="F53" t="str">
        <f t="shared" si="3"/>
        <v>䷥</v>
      </c>
      <c r="G53" t="s">
        <v>66</v>
      </c>
      <c r="J53">
        <v>121211</v>
      </c>
      <c r="K53" t="str" cm="1">
        <f t="array" ref="K53">_xlfn.LET(
    _xlpm.s, TEXT($J53,"0"),
    _xlpm.seq, _xlfn.SEQUENCE(LEN(_xlpm.s)),
    _xlpm.c, MID(_xlpm.s, _xlpm.seq, 1),
    _xlfn.CONCAT(_xlfn.IFS(_xlpm.c="1","7",_xlpm.c="2","8",_xlpm.c="3","9",TRUE,_xlpm.c))
)</f>
        <v>787877</v>
      </c>
      <c r="L53" t="str">
        <f t="shared" si="2"/>
        <v>⚊⚋⚊⚋⚊⚊</v>
      </c>
      <c r="M53" t="str">
        <f t="shared" si="6"/>
        <v>䷥</v>
      </c>
      <c r="N53" t="str">
        <f t="shared" si="6"/>
        <v>䷥</v>
      </c>
    </row>
    <row r="54" spans="2:14">
      <c r="B54" t="str">
        <f t="shared" si="1"/>
        <v>4DE6</v>
      </c>
      <c r="C54" cm="1">
        <f t="array" ref="C54">IF($A54="",IF(ROW()=1,"",INDEX(C:C,ROW()-1)+1),HEX2DEC($A54))</f>
        <v>19942</v>
      </c>
      <c r="D54">
        <v>53</v>
      </c>
      <c r="E54">
        <v>39</v>
      </c>
      <c r="F54" t="str">
        <f t="shared" si="3"/>
        <v>䷦</v>
      </c>
      <c r="G54" t="s">
        <v>67</v>
      </c>
      <c r="J54">
        <v>212122</v>
      </c>
      <c r="K54" t="str" cm="1">
        <f t="array" ref="K54">_xlfn.LET(
    _xlpm.s, TEXT($J54,"0"),
    _xlpm.seq, _xlfn.SEQUENCE(LEN(_xlpm.s)),
    _xlpm.c, MID(_xlpm.s, _xlpm.seq, 1),
    _xlfn.CONCAT(_xlfn.IFS(_xlpm.c="1","7",_xlpm.c="2","8",_xlpm.c="3","9",TRUE,_xlpm.c))
)</f>
        <v>878788</v>
      </c>
      <c r="L54" t="str">
        <f t="shared" si="2"/>
        <v>⚋⚊⚋⚊⚋⚋</v>
      </c>
      <c r="M54" t="str">
        <f t="shared" si="6"/>
        <v>䷦</v>
      </c>
      <c r="N54" t="str">
        <f t="shared" si="6"/>
        <v>䷦</v>
      </c>
    </row>
    <row r="55" spans="2:14">
      <c r="B55" t="str">
        <f t="shared" si="1"/>
        <v>4DE7</v>
      </c>
      <c r="C55" cm="1">
        <f t="array" ref="C55">IF($A55="",IF(ROW()=1,"",INDEX(C:C,ROW()-1)+1),HEX2DEC($A55))</f>
        <v>19943</v>
      </c>
      <c r="D55">
        <v>54</v>
      </c>
      <c r="E55">
        <v>40</v>
      </c>
      <c r="F55" t="str">
        <f t="shared" si="3"/>
        <v>䷧</v>
      </c>
      <c r="G55" t="s">
        <v>68</v>
      </c>
      <c r="J55">
        <v>221212</v>
      </c>
      <c r="K55" t="str" cm="1">
        <f t="array" ref="K55">_xlfn.LET(
    _xlpm.s, TEXT($J55,"0"),
    _xlpm.seq, _xlfn.SEQUENCE(LEN(_xlpm.s)),
    _xlpm.c, MID(_xlpm.s, _xlpm.seq, 1),
    _xlfn.CONCAT(_xlfn.IFS(_xlpm.c="1","7",_xlpm.c="2","8",_xlpm.c="3","9",TRUE,_xlpm.c))
)</f>
        <v>887878</v>
      </c>
      <c r="L55" t="str">
        <f t="shared" si="2"/>
        <v>⚋⚋⚊⚋⚊⚋</v>
      </c>
      <c r="M55" t="str">
        <f t="shared" si="6"/>
        <v>䷧</v>
      </c>
      <c r="N55" t="str">
        <f t="shared" si="6"/>
        <v>䷧</v>
      </c>
    </row>
    <row r="56" spans="2:14">
      <c r="B56" t="str">
        <f t="shared" si="1"/>
        <v>4DE8</v>
      </c>
      <c r="C56" cm="1">
        <f t="array" ref="C56">IF($A56="",IF(ROW()=1,"",INDEX(C:C,ROW()-1)+1),HEX2DEC($A56))</f>
        <v>19944</v>
      </c>
      <c r="D56">
        <v>55</v>
      </c>
      <c r="E56">
        <v>41</v>
      </c>
      <c r="F56" t="str">
        <f t="shared" si="3"/>
        <v>䷨</v>
      </c>
      <c r="G56" t="s">
        <v>69</v>
      </c>
      <c r="J56">
        <v>122211</v>
      </c>
      <c r="K56" t="str" cm="1">
        <f t="array" ref="K56">_xlfn.LET(
    _xlpm.s, TEXT($J56,"0"),
    _xlpm.seq, _xlfn.SEQUENCE(LEN(_xlpm.s)),
    _xlpm.c, MID(_xlpm.s, _xlpm.seq, 1),
    _xlfn.CONCAT(_xlfn.IFS(_xlpm.c="1","7",_xlpm.c="2","8",_xlpm.c="3","9",TRUE,_xlpm.c))
)</f>
        <v>788877</v>
      </c>
      <c r="L56" t="str">
        <f t="shared" si="2"/>
        <v>⚊⚋⚋⚋⚊⚊</v>
      </c>
      <c r="M56" t="str">
        <f t="shared" si="6"/>
        <v>䷨</v>
      </c>
      <c r="N56" t="str">
        <f t="shared" si="6"/>
        <v>䷨</v>
      </c>
    </row>
    <row r="57" spans="2:14">
      <c r="B57" t="str">
        <f t="shared" si="1"/>
        <v>4DE9</v>
      </c>
      <c r="C57" cm="1">
        <f t="array" ref="C57">IF($A57="",IF(ROW()=1,"",INDEX(C:C,ROW()-1)+1),HEX2DEC($A57))</f>
        <v>19945</v>
      </c>
      <c r="D57">
        <v>56</v>
      </c>
      <c r="E57">
        <v>42</v>
      </c>
      <c r="F57" t="str">
        <f t="shared" si="3"/>
        <v>䷩</v>
      </c>
      <c r="G57" t="s">
        <v>70</v>
      </c>
      <c r="J57">
        <v>112221</v>
      </c>
      <c r="K57" t="str" cm="1">
        <f t="array" ref="K57">_xlfn.LET(
    _xlpm.s, TEXT($J57,"0"),
    _xlpm.seq, _xlfn.SEQUENCE(LEN(_xlpm.s)),
    _xlpm.c, MID(_xlpm.s, _xlpm.seq, 1),
    _xlfn.CONCAT(_xlfn.IFS(_xlpm.c="1","7",_xlpm.c="2","8",_xlpm.c="3","9",TRUE,_xlpm.c))
)</f>
        <v>778887</v>
      </c>
      <c r="L57" t="str">
        <f t="shared" si="2"/>
        <v>⚊⚊⚋⚋⚋⚊</v>
      </c>
      <c r="M57" t="str">
        <f t="shared" si="6"/>
        <v>䷩</v>
      </c>
      <c r="N57" t="str">
        <f t="shared" si="6"/>
        <v>䷩</v>
      </c>
    </row>
    <row r="58" spans="2:14">
      <c r="B58" t="str">
        <f t="shared" si="1"/>
        <v>4DEA</v>
      </c>
      <c r="C58" cm="1">
        <f t="array" ref="C58">IF($A58="",IF(ROW()=1,"",INDEX(C:C,ROW()-1)+1),HEX2DEC($A58))</f>
        <v>19946</v>
      </c>
      <c r="D58">
        <v>57</v>
      </c>
      <c r="E58">
        <v>43</v>
      </c>
      <c r="F58" t="str">
        <f t="shared" si="3"/>
        <v>䷪</v>
      </c>
      <c r="G58" t="s">
        <v>71</v>
      </c>
      <c r="J58">
        <v>211111</v>
      </c>
      <c r="K58" t="str" cm="1">
        <f t="array" ref="K58">_xlfn.LET(
    _xlpm.s, TEXT($J58,"0"),
    _xlpm.seq, _xlfn.SEQUENCE(LEN(_xlpm.s)),
    _xlpm.c, MID(_xlpm.s, _xlpm.seq, 1),
    _xlfn.CONCAT(_xlfn.IFS(_xlpm.c="1","7",_xlpm.c="2","8",_xlpm.c="3","9",TRUE,_xlpm.c))
)</f>
        <v>877777</v>
      </c>
      <c r="L58" t="str">
        <f t="shared" si="2"/>
        <v>⚋⚊⚊⚊⚊⚊</v>
      </c>
      <c r="M58" t="str">
        <f t="shared" si="6"/>
        <v>䷪</v>
      </c>
      <c r="N58" t="str">
        <f t="shared" si="6"/>
        <v>䷪</v>
      </c>
    </row>
    <row r="59" spans="2:14">
      <c r="B59" t="str">
        <f t="shared" si="1"/>
        <v>4DEB</v>
      </c>
      <c r="C59" cm="1">
        <f t="array" ref="C59">IF($A59="",IF(ROW()=1,"",INDEX(C:C,ROW()-1)+1),HEX2DEC($A59))</f>
        <v>19947</v>
      </c>
      <c r="D59">
        <v>58</v>
      </c>
      <c r="E59">
        <v>44</v>
      </c>
      <c r="F59" t="str">
        <f t="shared" si="3"/>
        <v>䷫</v>
      </c>
      <c r="G59" t="s">
        <v>72</v>
      </c>
      <c r="J59">
        <v>111112</v>
      </c>
      <c r="K59" t="str" cm="1">
        <f t="array" ref="K59">_xlfn.LET(
    _xlpm.s, TEXT($J59,"0"),
    _xlpm.seq, _xlfn.SEQUENCE(LEN(_xlpm.s)),
    _xlpm.c, MID(_xlpm.s, _xlpm.seq, 1),
    _xlfn.CONCAT(_xlfn.IFS(_xlpm.c="1","7",_xlpm.c="2","8",_xlpm.c="3","9",TRUE,_xlpm.c))
)</f>
        <v>777778</v>
      </c>
      <c r="L59" t="str">
        <f t="shared" si="2"/>
        <v>⚊⚊⚊⚊⚊⚋</v>
      </c>
      <c r="M59" t="str">
        <f t="shared" si="6"/>
        <v>䷫</v>
      </c>
      <c r="N59" t="str">
        <f t="shared" si="6"/>
        <v>䷫</v>
      </c>
    </row>
    <row r="60" spans="2:14">
      <c r="B60" t="str">
        <f t="shared" si="1"/>
        <v>4DEC</v>
      </c>
      <c r="C60" cm="1">
        <f t="array" ref="C60">IF($A60="",IF(ROW()=1,"",INDEX(C:C,ROW()-1)+1),HEX2DEC($A60))</f>
        <v>19948</v>
      </c>
      <c r="D60">
        <v>59</v>
      </c>
      <c r="E60">
        <v>45</v>
      </c>
      <c r="F60" t="str">
        <f t="shared" si="3"/>
        <v>䷬</v>
      </c>
      <c r="G60" t="s">
        <v>73</v>
      </c>
      <c r="J60">
        <v>211222</v>
      </c>
      <c r="K60" t="str" cm="1">
        <f t="array" ref="K60">_xlfn.LET(
    _xlpm.s, TEXT($J60,"0"),
    _xlpm.seq, _xlfn.SEQUENCE(LEN(_xlpm.s)),
    _xlpm.c, MID(_xlpm.s, _xlpm.seq, 1),
    _xlfn.CONCAT(_xlfn.IFS(_xlpm.c="1","7",_xlpm.c="2","8",_xlpm.c="3","9",TRUE,_xlpm.c))
)</f>
        <v>877888</v>
      </c>
      <c r="L60" t="str">
        <f t="shared" si="2"/>
        <v>⚋⚊⚊⚋⚋⚋</v>
      </c>
      <c r="M60" t="str">
        <f t="shared" si="6"/>
        <v>䷬</v>
      </c>
      <c r="N60" t="str">
        <f t="shared" si="6"/>
        <v>䷬</v>
      </c>
    </row>
    <row r="61" spans="2:14">
      <c r="B61" t="str">
        <f t="shared" si="1"/>
        <v>4DED</v>
      </c>
      <c r="C61" cm="1">
        <f t="array" ref="C61">IF($A61="",IF(ROW()=1,"",INDEX(C:C,ROW()-1)+1),HEX2DEC($A61))</f>
        <v>19949</v>
      </c>
      <c r="D61">
        <v>60</v>
      </c>
      <c r="E61">
        <v>46</v>
      </c>
      <c r="F61" t="str">
        <f t="shared" si="3"/>
        <v>䷭</v>
      </c>
      <c r="G61" t="s">
        <v>74</v>
      </c>
      <c r="J61">
        <v>222112</v>
      </c>
      <c r="K61" t="str" cm="1">
        <f t="array" ref="K61">_xlfn.LET(
    _xlpm.s, TEXT($J61,"0"),
    _xlpm.seq, _xlfn.SEQUENCE(LEN(_xlpm.s)),
    _xlpm.c, MID(_xlpm.s, _xlpm.seq, 1),
    _xlfn.CONCAT(_xlfn.IFS(_xlpm.c="1","7",_xlpm.c="2","8",_xlpm.c="3","9",TRUE,_xlpm.c))
)</f>
        <v>888778</v>
      </c>
      <c r="L61" t="str">
        <f t="shared" si="2"/>
        <v>⚋⚋⚋⚊⚊⚋</v>
      </c>
      <c r="M61" t="str">
        <f t="shared" si="6"/>
        <v>䷭</v>
      </c>
      <c r="N61" t="str">
        <f t="shared" si="6"/>
        <v>䷭</v>
      </c>
    </row>
    <row r="62" spans="2:14">
      <c r="B62" t="str">
        <f t="shared" si="1"/>
        <v>4DEE</v>
      </c>
      <c r="C62" cm="1">
        <f t="array" ref="C62">IF($A62="",IF(ROW()=1,"",INDEX(C:C,ROW()-1)+1),HEX2DEC($A62))</f>
        <v>19950</v>
      </c>
      <c r="D62">
        <v>61</v>
      </c>
      <c r="E62">
        <v>47</v>
      </c>
      <c r="F62" t="str">
        <f t="shared" si="3"/>
        <v>䷮</v>
      </c>
      <c r="G62" t="s">
        <v>75</v>
      </c>
      <c r="J62">
        <v>211212</v>
      </c>
      <c r="K62" t="str" cm="1">
        <f t="array" ref="K62">_xlfn.LET(
    _xlpm.s, TEXT($J62,"0"),
    _xlpm.seq, _xlfn.SEQUENCE(LEN(_xlpm.s)),
    _xlpm.c, MID(_xlpm.s, _xlpm.seq, 1),
    _xlfn.CONCAT(_xlfn.IFS(_xlpm.c="1","7",_xlpm.c="2","8",_xlpm.c="3","9",TRUE,_xlpm.c))
)</f>
        <v>877878</v>
      </c>
      <c r="L62" t="str">
        <f t="shared" si="2"/>
        <v>⚋⚊⚊⚋⚊⚋</v>
      </c>
      <c r="M62" t="str">
        <f t="shared" si="6"/>
        <v>䷮</v>
      </c>
      <c r="N62" t="str">
        <f t="shared" si="6"/>
        <v>䷮</v>
      </c>
    </row>
    <row r="63" spans="2:14">
      <c r="B63" t="str">
        <f t="shared" si="1"/>
        <v>4DEF</v>
      </c>
      <c r="C63" cm="1">
        <f t="array" ref="C63">IF($A63="",IF(ROW()=1,"",INDEX(C:C,ROW()-1)+1),HEX2DEC($A63))</f>
        <v>19951</v>
      </c>
      <c r="D63">
        <v>62</v>
      </c>
      <c r="E63">
        <v>48</v>
      </c>
      <c r="F63" t="str">
        <f t="shared" si="3"/>
        <v>䷯</v>
      </c>
      <c r="G63" t="s">
        <v>76</v>
      </c>
      <c r="J63">
        <v>212112</v>
      </c>
      <c r="K63" t="str" cm="1">
        <f t="array" ref="K63">_xlfn.LET(
    _xlpm.s, TEXT($J63,"0"),
    _xlpm.seq, _xlfn.SEQUENCE(LEN(_xlpm.s)),
    _xlpm.c, MID(_xlpm.s, _xlpm.seq, 1),
    _xlfn.CONCAT(_xlfn.IFS(_xlpm.c="1","7",_xlpm.c="2","8",_xlpm.c="3","9",TRUE,_xlpm.c))
)</f>
        <v>878778</v>
      </c>
      <c r="L63" t="str">
        <f t="shared" si="2"/>
        <v>⚋⚊⚋⚊⚊⚋</v>
      </c>
      <c r="M63" t="str">
        <f t="shared" si="6"/>
        <v>䷯</v>
      </c>
      <c r="N63" t="str">
        <f t="shared" si="6"/>
        <v>䷯</v>
      </c>
    </row>
    <row r="64" spans="2:14">
      <c r="B64" t="str">
        <f t="shared" si="1"/>
        <v>4DF0</v>
      </c>
      <c r="C64" cm="1">
        <f t="array" ref="C64">IF($A64="",IF(ROW()=1,"",INDEX(C:C,ROW()-1)+1),HEX2DEC($A64))</f>
        <v>19952</v>
      </c>
      <c r="D64">
        <v>63</v>
      </c>
      <c r="E64">
        <v>49</v>
      </c>
      <c r="F64" t="str">
        <f t="shared" si="3"/>
        <v>䷰</v>
      </c>
      <c r="G64" t="s">
        <v>77</v>
      </c>
      <c r="J64">
        <v>211121</v>
      </c>
      <c r="K64" t="str" cm="1">
        <f t="array" ref="K64">_xlfn.LET(
    _xlpm.s, TEXT($J64,"0"),
    _xlpm.seq, _xlfn.SEQUENCE(LEN(_xlpm.s)),
    _xlpm.c, MID(_xlpm.s, _xlpm.seq, 1),
    _xlfn.CONCAT(_xlfn.IFS(_xlpm.c="1","7",_xlpm.c="2","8",_xlpm.c="3","9",TRUE,_xlpm.c))
)</f>
        <v>877787</v>
      </c>
      <c r="L64" t="str">
        <f t="shared" si="2"/>
        <v>⚋⚊⚊⚊⚋⚊</v>
      </c>
      <c r="M64" t="str">
        <f t="shared" si="6"/>
        <v>䷰</v>
      </c>
      <c r="N64" t="str">
        <f t="shared" si="6"/>
        <v>䷰</v>
      </c>
    </row>
    <row r="65" spans="1:14">
      <c r="B65" t="str">
        <f t="shared" si="1"/>
        <v>4DF1</v>
      </c>
      <c r="C65" cm="1">
        <f t="array" ref="C65">IF($A65="",IF(ROW()=1,"",INDEX(C:C,ROW()-1)+1),HEX2DEC($A65))</f>
        <v>19953</v>
      </c>
      <c r="D65">
        <v>64</v>
      </c>
      <c r="E65">
        <v>50</v>
      </c>
      <c r="F65" t="str">
        <f t="shared" si="3"/>
        <v>䷱</v>
      </c>
      <c r="G65" t="s">
        <v>78</v>
      </c>
      <c r="J65">
        <v>121112</v>
      </c>
      <c r="K65" t="str" cm="1">
        <f t="array" ref="K65">_xlfn.LET(
    _xlpm.s, TEXT($J65,"0"),
    _xlpm.seq, _xlfn.SEQUENCE(LEN(_xlpm.s)),
    _xlpm.c, MID(_xlpm.s, _xlpm.seq, 1),
    _xlfn.CONCAT(_xlfn.IFS(_xlpm.c="1","7",_xlpm.c="2","8",_xlpm.c="3","9",TRUE,_xlpm.c))
)</f>
        <v>787778</v>
      </c>
      <c r="L65" t="str">
        <f t="shared" si="2"/>
        <v>⚊⚋⚊⚊⚊⚋</v>
      </c>
      <c r="M65" t="str">
        <f t="shared" si="6"/>
        <v>䷱</v>
      </c>
      <c r="N65" t="str">
        <f t="shared" si="6"/>
        <v>䷱</v>
      </c>
    </row>
    <row r="66" spans="1:14">
      <c r="B66" t="str">
        <f t="shared" si="1"/>
        <v>4DF2</v>
      </c>
      <c r="C66" cm="1">
        <f t="array" ref="C66">IF($A66="",IF(ROW()=1,"",INDEX(C:C,ROW()-1)+1),HEX2DEC($A66))</f>
        <v>19954</v>
      </c>
      <c r="D66">
        <v>65</v>
      </c>
      <c r="E66">
        <v>51</v>
      </c>
      <c r="F66" t="str">
        <f t="shared" si="3"/>
        <v>䷲</v>
      </c>
      <c r="G66" t="s">
        <v>12</v>
      </c>
      <c r="J66">
        <v>221221</v>
      </c>
      <c r="K66" t="str" cm="1">
        <f t="array" ref="K66">_xlfn.LET(
    _xlpm.s, TEXT($J66,"0"),
    _xlpm.seq, _xlfn.SEQUENCE(LEN(_xlpm.s)),
    _xlpm.c, MID(_xlpm.s, _xlpm.seq, 1),
    _xlfn.CONCAT(_xlfn.IFS(_xlpm.c="1","7",_xlpm.c="2","8",_xlpm.c="3","9",TRUE,_xlpm.c))
)</f>
        <v>887887</v>
      </c>
      <c r="L66" t="str">
        <f t="shared" si="2"/>
        <v>⚋⚋⚊⚋⚋⚊</v>
      </c>
      <c r="M66" t="str">
        <f t="shared" ref="M66:N81" si="7">_xlfn.UNICHAR($C66)</f>
        <v>䷲</v>
      </c>
      <c r="N66" t="str">
        <f t="shared" si="7"/>
        <v>䷲</v>
      </c>
    </row>
    <row r="67" spans="1:14">
      <c r="B67" t="str">
        <f t="shared" ref="B67:B130" si="8">DEC2HEX($C67)</f>
        <v>4DF3</v>
      </c>
      <c r="C67" cm="1">
        <f t="array" ref="C67">IF($A67="",IF(ROW()=1,"",INDEX(C:C,ROW()-1)+1),HEX2DEC($A67))</f>
        <v>19955</v>
      </c>
      <c r="D67">
        <v>66</v>
      </c>
      <c r="E67">
        <v>52</v>
      </c>
      <c r="F67" t="str">
        <f t="shared" si="3"/>
        <v>䷳</v>
      </c>
      <c r="G67" t="s">
        <v>15</v>
      </c>
      <c r="J67">
        <v>122122</v>
      </c>
      <c r="K67" t="str" cm="1">
        <f t="array" ref="K67">_xlfn.LET(
    _xlpm.s, TEXT($J67,"0"),
    _xlpm.seq, _xlfn.SEQUENCE(LEN(_xlpm.s)),
    _xlpm.c, MID(_xlpm.s, _xlpm.seq, 1),
    _xlfn.CONCAT(_xlfn.IFS(_xlpm.c="1","7",_xlpm.c="2","8",_xlpm.c="3","9",TRUE,_xlpm.c))
)</f>
        <v>788788</v>
      </c>
      <c r="L67" t="str">
        <f t="shared" ref="L67:L85" si="9">SUBSTITUTE(SUBSTITUTE(SUBSTITUTE(TEXT($J67,"0"),"1","⚊"),"2","⚋"),"3","𝌀")</f>
        <v>⚊⚋⚋⚊⚋⚋</v>
      </c>
      <c r="M67" t="str">
        <f t="shared" si="7"/>
        <v>䷳</v>
      </c>
      <c r="N67" t="str">
        <f t="shared" si="7"/>
        <v>䷳</v>
      </c>
    </row>
    <row r="68" spans="1:14">
      <c r="B68" t="str">
        <f t="shared" si="8"/>
        <v>4DF4</v>
      </c>
      <c r="C68" cm="1">
        <f t="array" ref="C68">IF($A68="",IF(ROW()=1,"",INDEX(C:C,ROW()-1)+1),HEX2DEC($A68))</f>
        <v>19956</v>
      </c>
      <c r="D68">
        <v>67</v>
      </c>
      <c r="E68">
        <v>53</v>
      </c>
      <c r="F68" t="str">
        <f t="shared" si="3"/>
        <v>䷴</v>
      </c>
      <c r="G68" t="s">
        <v>79</v>
      </c>
      <c r="J68">
        <v>112122</v>
      </c>
      <c r="K68" t="str" cm="1">
        <f t="array" ref="K68">_xlfn.LET(
    _xlpm.s, TEXT($J68,"0"),
    _xlpm.seq, _xlfn.SEQUENCE(LEN(_xlpm.s)),
    _xlpm.c, MID(_xlpm.s, _xlpm.seq, 1),
    _xlfn.CONCAT(_xlfn.IFS(_xlpm.c="1","7",_xlpm.c="2","8",_xlpm.c="3","9",TRUE,_xlpm.c))
)</f>
        <v>778788</v>
      </c>
      <c r="L68" t="str">
        <f t="shared" si="9"/>
        <v>⚊⚊⚋⚊⚋⚋</v>
      </c>
      <c r="M68" t="str">
        <f t="shared" si="7"/>
        <v>䷴</v>
      </c>
      <c r="N68" t="str">
        <f t="shared" si="7"/>
        <v>䷴</v>
      </c>
    </row>
    <row r="69" spans="1:14">
      <c r="B69" t="str">
        <f t="shared" si="8"/>
        <v>4DF5</v>
      </c>
      <c r="C69" cm="1">
        <f t="array" ref="C69">IF($A69="",IF(ROW()=1,"",INDEX(C:C,ROW()-1)+1),HEX2DEC($A69))</f>
        <v>19957</v>
      </c>
      <c r="D69">
        <v>68</v>
      </c>
      <c r="E69">
        <v>54</v>
      </c>
      <c r="F69" t="str">
        <f t="shared" si="3"/>
        <v>䷵</v>
      </c>
      <c r="G69" t="s">
        <v>80</v>
      </c>
      <c r="J69">
        <v>221211</v>
      </c>
      <c r="K69" t="str" cm="1">
        <f t="array" ref="K69">_xlfn.LET(
    _xlpm.s, TEXT($J69,"0"),
    _xlpm.seq, _xlfn.SEQUENCE(LEN(_xlpm.s)),
    _xlpm.c, MID(_xlpm.s, _xlpm.seq, 1),
    _xlfn.CONCAT(_xlfn.IFS(_xlpm.c="1","7",_xlpm.c="2","8",_xlpm.c="3","9",TRUE,_xlpm.c))
)</f>
        <v>887877</v>
      </c>
      <c r="L69" t="str">
        <f t="shared" si="9"/>
        <v>⚋⚋⚊⚋⚊⚊</v>
      </c>
      <c r="M69" t="str">
        <f t="shared" si="7"/>
        <v>䷵</v>
      </c>
      <c r="N69" t="str">
        <f t="shared" si="7"/>
        <v>䷵</v>
      </c>
    </row>
    <row r="70" spans="1:14">
      <c r="B70" t="str">
        <f t="shared" si="8"/>
        <v>4DF6</v>
      </c>
      <c r="C70" cm="1">
        <f t="array" ref="C70">IF($A70="",IF(ROW()=1,"",INDEX(C:C,ROW()-1)+1),HEX2DEC($A70))</f>
        <v>19958</v>
      </c>
      <c r="D70">
        <v>69</v>
      </c>
      <c r="E70">
        <v>55</v>
      </c>
      <c r="F70" t="str">
        <f t="shared" si="3"/>
        <v>䷶</v>
      </c>
      <c r="G70" t="s">
        <v>81</v>
      </c>
      <c r="J70">
        <v>221121</v>
      </c>
      <c r="K70" t="str" cm="1">
        <f t="array" ref="K70">_xlfn.LET(
    _xlpm.s, TEXT($J70,"0"),
    _xlpm.seq, _xlfn.SEQUENCE(LEN(_xlpm.s)),
    _xlpm.c, MID(_xlpm.s, _xlpm.seq, 1),
    _xlfn.CONCAT(_xlfn.IFS(_xlpm.c="1","7",_xlpm.c="2","8",_xlpm.c="3","9",TRUE,_xlpm.c))
)</f>
        <v>887787</v>
      </c>
      <c r="L70" t="str">
        <f t="shared" si="9"/>
        <v>⚋⚋⚊⚊⚋⚊</v>
      </c>
      <c r="M70" t="str">
        <f t="shared" si="7"/>
        <v>䷶</v>
      </c>
      <c r="N70" t="str">
        <f t="shared" si="7"/>
        <v>䷶</v>
      </c>
    </row>
    <row r="71" spans="1:14">
      <c r="B71" t="str">
        <f t="shared" si="8"/>
        <v>4DF7</v>
      </c>
      <c r="C71" cm="1">
        <f t="array" ref="C71">IF($A71="",IF(ROW()=1,"",INDEX(C:C,ROW()-1)+1),HEX2DEC($A71))</f>
        <v>19959</v>
      </c>
      <c r="D71">
        <v>70</v>
      </c>
      <c r="E71">
        <v>56</v>
      </c>
      <c r="F71" t="str">
        <f t="shared" si="3"/>
        <v>䷷</v>
      </c>
      <c r="G71" t="s">
        <v>82</v>
      </c>
      <c r="J71">
        <v>121122</v>
      </c>
      <c r="K71" t="str" cm="1">
        <f t="array" ref="K71">_xlfn.LET(
    _xlpm.s, TEXT($J71,"0"),
    _xlpm.seq, _xlfn.SEQUENCE(LEN(_xlpm.s)),
    _xlpm.c, MID(_xlpm.s, _xlpm.seq, 1),
    _xlfn.CONCAT(_xlfn.IFS(_xlpm.c="1","7",_xlpm.c="2","8",_xlpm.c="3","9",TRUE,_xlpm.c))
)</f>
        <v>787788</v>
      </c>
      <c r="L71" t="str">
        <f t="shared" si="9"/>
        <v>⚊⚋⚊⚊⚋⚋</v>
      </c>
      <c r="M71" t="str">
        <f t="shared" si="7"/>
        <v>䷷</v>
      </c>
      <c r="N71" t="str">
        <f t="shared" si="7"/>
        <v>䷷</v>
      </c>
    </row>
    <row r="72" spans="1:14">
      <c r="B72" t="str">
        <f t="shared" si="8"/>
        <v>4DF8</v>
      </c>
      <c r="C72" cm="1">
        <f t="array" ref="C72">IF($A72="",IF(ROW()=1,"",INDEX(C:C,ROW()-1)+1),HEX2DEC($A72))</f>
        <v>19960</v>
      </c>
      <c r="D72">
        <v>71</v>
      </c>
      <c r="E72">
        <v>57</v>
      </c>
      <c r="F72" t="str">
        <f t="shared" si="3"/>
        <v>䷸</v>
      </c>
      <c r="G72" t="s">
        <v>13</v>
      </c>
      <c r="J72">
        <v>112112</v>
      </c>
      <c r="K72" t="str" cm="1">
        <f t="array" ref="K72">_xlfn.LET(
    _xlpm.s, TEXT($J72,"0"),
    _xlpm.seq, _xlfn.SEQUENCE(LEN(_xlpm.s)),
    _xlpm.c, MID(_xlpm.s, _xlpm.seq, 1),
    _xlfn.CONCAT(_xlfn.IFS(_xlpm.c="1","7",_xlpm.c="2","8",_xlpm.c="3","9",TRUE,_xlpm.c))
)</f>
        <v>778778</v>
      </c>
      <c r="L72" t="str">
        <f t="shared" si="9"/>
        <v>⚊⚊⚋⚊⚊⚋</v>
      </c>
      <c r="M72" t="str">
        <f t="shared" si="7"/>
        <v>䷸</v>
      </c>
      <c r="N72" t="str">
        <f t="shared" si="7"/>
        <v>䷸</v>
      </c>
    </row>
    <row r="73" spans="1:14">
      <c r="B73" t="str">
        <f t="shared" si="8"/>
        <v>4DF9</v>
      </c>
      <c r="C73" cm="1">
        <f t="array" ref="C73">IF($A73="",IF(ROW()=1,"",INDEX(C:C,ROW()-1)+1),HEX2DEC($A73))</f>
        <v>19961</v>
      </c>
      <c r="D73">
        <v>72</v>
      </c>
      <c r="E73">
        <v>58</v>
      </c>
      <c r="F73" t="str">
        <f t="shared" si="3"/>
        <v>䷹</v>
      </c>
      <c r="G73" t="s">
        <v>10</v>
      </c>
      <c r="J73">
        <v>211211</v>
      </c>
      <c r="K73" t="str" cm="1">
        <f t="array" ref="K73">_xlfn.LET(
    _xlpm.s, TEXT($J73,"0"),
    _xlpm.seq, _xlfn.SEQUENCE(LEN(_xlpm.s)),
    _xlpm.c, MID(_xlpm.s, _xlpm.seq, 1),
    _xlfn.CONCAT(_xlfn.IFS(_xlpm.c="1","7",_xlpm.c="2","8",_xlpm.c="3","9",TRUE,_xlpm.c))
)</f>
        <v>877877</v>
      </c>
      <c r="L73" t="str">
        <f t="shared" si="9"/>
        <v>⚋⚊⚊⚋⚊⚊</v>
      </c>
      <c r="M73" t="str">
        <f t="shared" si="7"/>
        <v>䷹</v>
      </c>
      <c r="N73" t="str">
        <f t="shared" si="7"/>
        <v>䷹</v>
      </c>
    </row>
    <row r="74" spans="1:14">
      <c r="B74" t="str">
        <f t="shared" si="8"/>
        <v>4DFA</v>
      </c>
      <c r="C74" cm="1">
        <f t="array" ref="C74">IF($A74="",IF(ROW()=1,"",INDEX(C:C,ROW()-1)+1),HEX2DEC($A74))</f>
        <v>19962</v>
      </c>
      <c r="D74">
        <v>73</v>
      </c>
      <c r="E74">
        <v>59</v>
      </c>
      <c r="F74" t="str">
        <f t="shared" si="3"/>
        <v>䷺</v>
      </c>
      <c r="G74" t="s">
        <v>83</v>
      </c>
      <c r="J74">
        <v>112212</v>
      </c>
      <c r="K74" t="str" cm="1">
        <f t="array" ref="K74">_xlfn.LET(
    _xlpm.s, TEXT($J74,"0"),
    _xlpm.seq, _xlfn.SEQUENCE(LEN(_xlpm.s)),
    _xlpm.c, MID(_xlpm.s, _xlpm.seq, 1),
    _xlfn.CONCAT(_xlfn.IFS(_xlpm.c="1","7",_xlpm.c="2","8",_xlpm.c="3","9",TRUE,_xlpm.c))
)</f>
        <v>778878</v>
      </c>
      <c r="L74" t="str">
        <f t="shared" si="9"/>
        <v>⚊⚊⚋⚋⚊⚋</v>
      </c>
      <c r="M74" t="str">
        <f t="shared" si="7"/>
        <v>䷺</v>
      </c>
      <c r="N74" t="str">
        <f t="shared" si="7"/>
        <v>䷺</v>
      </c>
    </row>
    <row r="75" spans="1:14">
      <c r="B75" t="str">
        <f t="shared" si="8"/>
        <v>4DFB</v>
      </c>
      <c r="C75" cm="1">
        <f t="array" ref="C75">IF($A75="",IF(ROW()=1,"",INDEX(C:C,ROW()-1)+1),HEX2DEC($A75))</f>
        <v>19963</v>
      </c>
      <c r="D75">
        <v>74</v>
      </c>
      <c r="E75">
        <v>60</v>
      </c>
      <c r="F75" t="str">
        <f t="shared" si="3"/>
        <v>䷻</v>
      </c>
      <c r="G75" t="s">
        <v>84</v>
      </c>
      <c r="J75">
        <v>212211</v>
      </c>
      <c r="K75" t="str" cm="1">
        <f t="array" ref="K75">_xlfn.LET(
    _xlpm.s, TEXT($J75,"0"),
    _xlpm.seq, _xlfn.SEQUENCE(LEN(_xlpm.s)),
    _xlpm.c, MID(_xlpm.s, _xlpm.seq, 1),
    _xlfn.CONCAT(_xlfn.IFS(_xlpm.c="1","7",_xlpm.c="2","8",_xlpm.c="3","9",TRUE,_xlpm.c))
)</f>
        <v>878877</v>
      </c>
      <c r="L75" t="str">
        <f t="shared" si="9"/>
        <v>⚋⚊⚋⚋⚊⚊</v>
      </c>
      <c r="M75" t="str">
        <f t="shared" si="7"/>
        <v>䷻</v>
      </c>
      <c r="N75" t="str">
        <f t="shared" si="7"/>
        <v>䷻</v>
      </c>
    </row>
    <row r="76" spans="1:14">
      <c r="B76" t="str">
        <f t="shared" si="8"/>
        <v>4DFC</v>
      </c>
      <c r="C76" cm="1">
        <f t="array" ref="C76">IF($A76="",IF(ROW()=1,"",INDEX(C:C,ROW()-1)+1),HEX2DEC($A76))</f>
        <v>19964</v>
      </c>
      <c r="D76">
        <v>75</v>
      </c>
      <c r="E76">
        <v>61</v>
      </c>
      <c r="F76" t="str">
        <f t="shared" si="3"/>
        <v>䷼</v>
      </c>
      <c r="G76" t="s">
        <v>85</v>
      </c>
      <c r="J76">
        <v>112211</v>
      </c>
      <c r="K76" t="str" cm="1">
        <f t="array" ref="K76">_xlfn.LET(
    _xlpm.s, TEXT($J76,"0"),
    _xlpm.seq, _xlfn.SEQUENCE(LEN(_xlpm.s)),
    _xlpm.c, MID(_xlpm.s, _xlpm.seq, 1),
    _xlfn.CONCAT(_xlfn.IFS(_xlpm.c="1","7",_xlpm.c="2","8",_xlpm.c="3","9",TRUE,_xlpm.c))
)</f>
        <v>778877</v>
      </c>
      <c r="L76" t="str">
        <f t="shared" si="9"/>
        <v>⚊⚊⚋⚋⚊⚊</v>
      </c>
      <c r="M76" t="str">
        <f t="shared" si="7"/>
        <v>䷼</v>
      </c>
      <c r="N76" t="str">
        <f t="shared" si="7"/>
        <v>䷼</v>
      </c>
    </row>
    <row r="77" spans="1:14">
      <c r="B77" t="str">
        <f t="shared" si="8"/>
        <v>4DFD</v>
      </c>
      <c r="C77" cm="1">
        <f t="array" ref="C77">IF($A77="",IF(ROW()=1,"",INDEX(C:C,ROW()-1)+1),HEX2DEC($A77))</f>
        <v>19965</v>
      </c>
      <c r="D77">
        <v>76</v>
      </c>
      <c r="E77">
        <v>62</v>
      </c>
      <c r="F77" t="str">
        <f t="shared" si="3"/>
        <v>䷽</v>
      </c>
      <c r="G77" t="s">
        <v>86</v>
      </c>
      <c r="J77">
        <v>221122</v>
      </c>
      <c r="K77" t="str" cm="1">
        <f t="array" ref="K77">_xlfn.LET(
    _xlpm.s, TEXT($J77,"0"),
    _xlpm.seq, _xlfn.SEQUENCE(LEN(_xlpm.s)),
    _xlpm.c, MID(_xlpm.s, _xlpm.seq, 1),
    _xlfn.CONCAT(_xlfn.IFS(_xlpm.c="1","7",_xlpm.c="2","8",_xlpm.c="3","9",TRUE,_xlpm.c))
)</f>
        <v>887788</v>
      </c>
      <c r="L77" t="str">
        <f t="shared" si="9"/>
        <v>⚋⚋⚊⚊⚋⚋</v>
      </c>
      <c r="M77" t="str">
        <f t="shared" si="7"/>
        <v>䷽</v>
      </c>
      <c r="N77" t="str">
        <f t="shared" si="7"/>
        <v>䷽</v>
      </c>
    </row>
    <row r="78" spans="1:14">
      <c r="B78" t="str">
        <f t="shared" si="8"/>
        <v>4DFE</v>
      </c>
      <c r="C78" cm="1">
        <f t="array" ref="C78">IF($A78="",IF(ROW()=1,"",INDEX(C:C,ROW()-1)+1),HEX2DEC($A78))</f>
        <v>19966</v>
      </c>
      <c r="D78">
        <v>77</v>
      </c>
      <c r="E78">
        <v>63</v>
      </c>
      <c r="F78" t="str">
        <f t="shared" si="3"/>
        <v>䷾</v>
      </c>
      <c r="G78" t="s">
        <v>87</v>
      </c>
      <c r="J78">
        <v>212121</v>
      </c>
      <c r="K78" t="str" cm="1">
        <f t="array" ref="K78">_xlfn.LET(
    _xlpm.s, TEXT($J78,"0"),
    _xlpm.seq, _xlfn.SEQUENCE(LEN(_xlpm.s)),
    _xlpm.c, MID(_xlpm.s, _xlpm.seq, 1),
    _xlfn.CONCAT(_xlfn.IFS(_xlpm.c="1","7",_xlpm.c="2","8",_xlpm.c="3","9",TRUE,_xlpm.c))
)</f>
        <v>878787</v>
      </c>
      <c r="L78" t="str">
        <f t="shared" si="9"/>
        <v>⚋⚊⚋⚊⚋⚊</v>
      </c>
      <c r="M78" t="str">
        <f t="shared" si="7"/>
        <v>䷾</v>
      </c>
      <c r="N78" t="str">
        <f t="shared" si="7"/>
        <v>䷾</v>
      </c>
    </row>
    <row r="79" spans="1:14">
      <c r="B79" t="str">
        <f t="shared" si="8"/>
        <v>4DFF</v>
      </c>
      <c r="C79" cm="1">
        <f t="array" ref="C79">IF($A79="",IF(ROW()=1,"",INDEX(C:C,ROW()-1)+1),HEX2DEC($A79))</f>
        <v>19967</v>
      </c>
      <c r="D79">
        <v>78</v>
      </c>
      <c r="E79">
        <v>64</v>
      </c>
      <c r="F79" t="str">
        <f t="shared" si="3"/>
        <v>䷿</v>
      </c>
      <c r="G79" t="s">
        <v>88</v>
      </c>
      <c r="J79">
        <v>121212</v>
      </c>
      <c r="K79" t="str" cm="1">
        <f t="array" ref="K79">_xlfn.LET(
    _xlpm.s, TEXT($J79,"0"),
    _xlpm.seq, _xlfn.SEQUENCE(LEN(_xlpm.s)),
    _xlpm.c, MID(_xlpm.s, _xlpm.seq, 1),
    _xlfn.CONCAT(_xlfn.IFS(_xlpm.c="1","7",_xlpm.c="2","8",_xlpm.c="3","9",TRUE,_xlpm.c))
)</f>
        <v>787878</v>
      </c>
      <c r="L79" t="str">
        <f t="shared" si="9"/>
        <v>⚊⚋⚊⚋⚊⚋</v>
      </c>
      <c r="M79" t="str">
        <f t="shared" si="7"/>
        <v>䷿</v>
      </c>
      <c r="N79" t="str">
        <f t="shared" si="7"/>
        <v>䷿</v>
      </c>
    </row>
    <row r="80" spans="1:14">
      <c r="A80" t="s">
        <v>1</v>
      </c>
      <c r="B80" t="str">
        <f t="shared" si="8"/>
        <v>1D300</v>
      </c>
      <c r="C80" cm="1">
        <f t="array" ref="C80">IF($A80="",IF(ROW()=1,"",INDEX(C:C,ROW()-1)+1),HEX2DEC($A80))</f>
        <v>119552</v>
      </c>
      <c r="D80">
        <v>79</v>
      </c>
      <c r="E80">
        <v>3</v>
      </c>
      <c r="F80" t="str">
        <f t="shared" si="3"/>
        <v>𝌀</v>
      </c>
      <c r="H80" t="s">
        <v>89</v>
      </c>
      <c r="J80">
        <v>3</v>
      </c>
      <c r="K80" t="str" cm="1">
        <f t="array" ref="K80">_xlfn.LET(
    _xlpm.s, TEXT($J80,"0"),
    _xlpm.seq, _xlfn.SEQUENCE(LEN(_xlpm.s)),
    _xlpm.c, MID(_xlpm.s, _xlpm.seq, 1),
    _xlfn.CONCAT(_xlfn.IFS(_xlpm.c="1","7",_xlpm.c="2","8",_xlpm.c="3","9",TRUE,_xlpm.c))
)</f>
        <v>9</v>
      </c>
      <c r="L80" t="str">
        <f t="shared" si="9"/>
        <v>𝌀</v>
      </c>
      <c r="M80" t="str">
        <f t="shared" si="7"/>
        <v>𝌀</v>
      </c>
      <c r="N80" t="str">
        <f t="shared" si="7"/>
        <v>𝌀</v>
      </c>
    </row>
    <row r="81" spans="2:14">
      <c r="B81" t="str">
        <f t="shared" si="8"/>
        <v>1D301</v>
      </c>
      <c r="C81" cm="1">
        <f t="array" ref="C81">IF($A81="",IF(ROW()=1,"",INDEX(C:C,ROW()-1)+1),HEX2DEC($A81))</f>
        <v>119553</v>
      </c>
      <c r="D81">
        <v>80</v>
      </c>
      <c r="E81">
        <v>5</v>
      </c>
      <c r="F81" t="str">
        <f t="shared" si="3"/>
        <v>𝌁</v>
      </c>
      <c r="H81" t="s">
        <v>91</v>
      </c>
      <c r="I81" t="s">
        <v>90</v>
      </c>
      <c r="J81">
        <v>13</v>
      </c>
      <c r="K81" t="str" cm="1">
        <f t="array" ref="K81">_xlfn.LET(
    _xlpm.s, TEXT($J81,"0"),
    _xlpm.seq, _xlfn.SEQUENCE(LEN(_xlpm.s)),
    _xlpm.c, MID(_xlpm.s, _xlpm.seq, 1),
    _xlfn.CONCAT(_xlfn.IFS(_xlpm.c="1","7",_xlpm.c="2","8",_xlpm.c="3","9",TRUE,_xlpm.c))
)</f>
        <v>79</v>
      </c>
      <c r="L81" t="str">
        <f t="shared" si="9"/>
        <v>⚊𝌀</v>
      </c>
      <c r="M81" t="str">
        <f t="shared" si="7"/>
        <v>𝌁</v>
      </c>
      <c r="N81" t="str">
        <f t="shared" si="7"/>
        <v>𝌁</v>
      </c>
    </row>
    <row r="82" spans="2:14">
      <c r="B82" t="str">
        <f t="shared" si="8"/>
        <v>1D302</v>
      </c>
      <c r="C82" cm="1">
        <f t="array" ref="C82">IF($A82="",IF(ROW()=1,"",INDEX(C:C,ROW()-1)+1),HEX2DEC($A82))</f>
        <v>119554</v>
      </c>
      <c r="D82">
        <v>81</v>
      </c>
      <c r="E82">
        <v>6</v>
      </c>
      <c r="F82" t="str">
        <f t="shared" si="3"/>
        <v>𝌂</v>
      </c>
      <c r="H82" t="s">
        <v>92</v>
      </c>
      <c r="I82" t="s">
        <v>91</v>
      </c>
      <c r="J82">
        <v>23</v>
      </c>
      <c r="K82" t="str" cm="1">
        <f t="array" ref="K82">_xlfn.LET(
    _xlpm.s, TEXT($J82,"0"),
    _xlpm.seq, _xlfn.SEQUENCE(LEN(_xlpm.s)),
    _xlpm.c, MID(_xlpm.s, _xlpm.seq, 1),
    _xlfn.CONCAT(_xlfn.IFS(_xlpm.c="1","7",_xlpm.c="2","8",_xlpm.c="3","9",TRUE,_xlpm.c))
)</f>
        <v>89</v>
      </c>
      <c r="L82" t="str">
        <f t="shared" si="9"/>
        <v>⚋𝌀</v>
      </c>
      <c r="M82" t="str">
        <f t="shared" ref="M82:N97" si="10">_xlfn.UNICHAR($C82)</f>
        <v>𝌂</v>
      </c>
      <c r="N82" t="str">
        <f t="shared" si="10"/>
        <v>𝌂</v>
      </c>
    </row>
    <row r="83" spans="2:14">
      <c r="B83" t="str">
        <f t="shared" si="8"/>
        <v>1D303</v>
      </c>
      <c r="C83" cm="1">
        <f t="array" ref="C83">IF($A83="",IF(ROW()=1,"",INDEX(C:C,ROW()-1)+1),HEX2DEC($A83))</f>
        <v>119555</v>
      </c>
      <c r="D83">
        <v>82</v>
      </c>
      <c r="E83">
        <v>7</v>
      </c>
      <c r="F83" t="str">
        <f t="shared" si="3"/>
        <v>𝌃</v>
      </c>
      <c r="H83" t="s">
        <v>90</v>
      </c>
      <c r="I83" t="s">
        <v>92</v>
      </c>
      <c r="J83">
        <v>31</v>
      </c>
      <c r="K83" t="str" cm="1">
        <f t="array" ref="K83">_xlfn.LET(
    _xlpm.s, TEXT($J83,"0"),
    _xlpm.seq, _xlfn.SEQUENCE(LEN(_xlpm.s)),
    _xlpm.c, MID(_xlpm.s, _xlpm.seq, 1),
    _xlfn.CONCAT(_xlfn.IFS(_xlpm.c="1","7",_xlpm.c="2","8",_xlpm.c="3","9",TRUE,_xlpm.c))
)</f>
        <v>97</v>
      </c>
      <c r="L83" t="str">
        <f t="shared" si="9"/>
        <v>𝌀⚊</v>
      </c>
      <c r="M83" t="str">
        <f t="shared" si="10"/>
        <v>𝌃</v>
      </c>
      <c r="N83" t="str">
        <f t="shared" si="10"/>
        <v>𝌃</v>
      </c>
    </row>
    <row r="84" spans="2:14">
      <c r="B84" t="str">
        <f t="shared" si="8"/>
        <v>1D304</v>
      </c>
      <c r="C84" cm="1">
        <f t="array" ref="C84">IF($A84="",IF(ROW()=1,"",INDEX(C:C,ROW()-1)+1),HEX2DEC($A84))</f>
        <v>119556</v>
      </c>
      <c r="D84">
        <v>83</v>
      </c>
      <c r="E84">
        <v>8</v>
      </c>
      <c r="F84" t="str">
        <f t="shared" si="3"/>
        <v>𝌄</v>
      </c>
      <c r="H84" t="s">
        <v>93</v>
      </c>
      <c r="J84">
        <v>32</v>
      </c>
      <c r="K84" t="str" cm="1">
        <f t="array" ref="K84">_xlfn.LET(
    _xlpm.s, TEXT($J84,"0"),
    _xlpm.seq, _xlfn.SEQUENCE(LEN(_xlpm.s)),
    _xlpm.c, MID(_xlpm.s, _xlpm.seq, 1),
    _xlfn.CONCAT(_xlfn.IFS(_xlpm.c="1","7",_xlpm.c="2","8",_xlpm.c="3","9",TRUE,_xlpm.c))
)</f>
        <v>98</v>
      </c>
      <c r="L84" t="str">
        <f t="shared" si="9"/>
        <v>𝌀⚋</v>
      </c>
      <c r="M84" t="str">
        <f t="shared" si="10"/>
        <v>𝌄</v>
      </c>
      <c r="N84" t="str">
        <f t="shared" si="10"/>
        <v>𝌄</v>
      </c>
    </row>
    <row r="85" spans="2:14">
      <c r="B85" t="str">
        <f t="shared" si="8"/>
        <v>1D305</v>
      </c>
      <c r="C85" cm="1">
        <f t="array" ref="C85">IF($A85="",IF(ROW()=1,"",INDEX(C:C,ROW()-1)+1),HEX2DEC($A85))</f>
        <v>119557</v>
      </c>
      <c r="D85">
        <v>84</v>
      </c>
      <c r="E85">
        <v>9</v>
      </c>
      <c r="F85" t="str">
        <f t="shared" si="3"/>
        <v>𝌅</v>
      </c>
      <c r="H85" t="s">
        <v>94</v>
      </c>
      <c r="J85">
        <v>33</v>
      </c>
      <c r="K85" t="str" cm="1">
        <f t="array" ref="K85">_xlfn.LET(
    _xlpm.s, TEXT($J85,"0"),
    _xlpm.seq, _xlfn.SEQUENCE(LEN(_xlpm.s)),
    _xlpm.c, MID(_xlpm.s, _xlpm.seq, 1),
    _xlfn.CONCAT(_xlfn.IFS(_xlpm.c="1","7",_xlpm.c="2","8",_xlpm.c="3","9",TRUE,_xlpm.c))
)</f>
        <v>99</v>
      </c>
      <c r="L85" t="str">
        <f t="shared" si="9"/>
        <v>𝌀𝌀</v>
      </c>
      <c r="M85" t="str">
        <f t="shared" si="10"/>
        <v>𝌅</v>
      </c>
      <c r="N85" t="str">
        <f t="shared" si="10"/>
        <v>𝌅</v>
      </c>
    </row>
    <row r="86" spans="2:14">
      <c r="B86" t="str">
        <f t="shared" si="8"/>
        <v>1D306</v>
      </c>
      <c r="C86" cm="1">
        <f t="array" ref="C86">IF($A86="",IF(ROW()=1,"",INDEX(C:C,ROW()-1)+1),HEX2DEC($A86))</f>
        <v>119558</v>
      </c>
      <c r="D86">
        <v>85</v>
      </c>
      <c r="E86">
        <v>1</v>
      </c>
      <c r="F86" t="str">
        <f t="shared" si="3"/>
        <v>𝌆</v>
      </c>
      <c r="H86" t="s">
        <v>95</v>
      </c>
      <c r="J86" t="str" cm="1">
        <f t="array" ref="J86">_xlfn.LET(
    _xlpm.num, $E86-1,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1111</v>
      </c>
      <c r="K86" t="str" cm="1">
        <f t="array" ref="K86">_xlfn.LET(
    _xlpm.s, TEXT($J86,"0"),
    _xlpm.seq, _xlfn.SEQUENCE(LEN(_xlpm.s)),
    _xlpm.c, MID(_xlpm.s, _xlpm.seq, 1),
    _xlfn.CONCAT(_xlfn.IFS(_xlpm.c="1","7",_xlpm.c="2","8",_xlpm.c="3","9",TRUE,_xlpm.c))
)</f>
        <v>7777</v>
      </c>
      <c r="L86" t="str">
        <f>SUBSTITUTE(SUBSTITUTE(SUBSTITUTE(TEXT($J86,"0"),"1","⚊"),"2","⚋"),"3","𝌀")</f>
        <v>⚊⚊⚊⚊</v>
      </c>
      <c r="M86" t="str">
        <f t="shared" si="10"/>
        <v>𝌆</v>
      </c>
      <c r="N86" t="str">
        <f t="shared" si="10"/>
        <v>𝌆</v>
      </c>
    </row>
    <row r="87" spans="2:14">
      <c r="B87" t="str">
        <f t="shared" si="8"/>
        <v>1D307</v>
      </c>
      <c r="C87" cm="1">
        <f t="array" ref="C87">IF($A87="",IF(ROW()=1,"",INDEX(C:C,ROW()-1)+1),HEX2DEC($A87))</f>
        <v>119559</v>
      </c>
      <c r="D87">
        <v>86</v>
      </c>
      <c r="E87">
        <v>2</v>
      </c>
      <c r="F87" t="str">
        <f t="shared" si="3"/>
        <v>𝌇</v>
      </c>
      <c r="H87" t="s">
        <v>96</v>
      </c>
      <c r="J87" t="str" cm="1">
        <f t="array" ref="J87">_xlfn.LET(
    _xlpm.num, $E87-1,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1112</v>
      </c>
      <c r="K87" t="str" cm="1">
        <f t="array" ref="K87">_xlfn.LET(
    _xlpm.s, TEXT($J87,"0"),
    _xlpm.seq, _xlfn.SEQUENCE(LEN(_xlpm.s)),
    _xlpm.c, MID(_xlpm.s, _xlpm.seq, 1),
    _xlfn.CONCAT(_xlfn.IFS(_xlpm.c="1","7",_xlpm.c="2","8",_xlpm.c="3","9",TRUE,_xlpm.c))
)</f>
        <v>7778</v>
      </c>
      <c r="L87" t="str">
        <f t="shared" ref="L87:L150" si="11">SUBSTITUTE(SUBSTITUTE(SUBSTITUTE(TEXT($J87,"0"),"1","⚊"),"2","⚋"),"3","𝌀")</f>
        <v>⚊⚊⚊⚋</v>
      </c>
      <c r="M87" t="str">
        <f t="shared" si="10"/>
        <v>𝌇</v>
      </c>
      <c r="N87" t="str">
        <f t="shared" si="10"/>
        <v>𝌇</v>
      </c>
    </row>
    <row r="88" spans="2:14">
      <c r="B88" t="str">
        <f t="shared" si="8"/>
        <v>1D308</v>
      </c>
      <c r="C88" cm="1">
        <f t="array" ref="C88">IF($A88="",IF(ROW()=1,"",INDEX(C:C,ROW()-1)+1),HEX2DEC($A88))</f>
        <v>119560</v>
      </c>
      <c r="D88">
        <v>87</v>
      </c>
      <c r="E88">
        <v>3</v>
      </c>
      <c r="F88" t="str">
        <f t="shared" si="3"/>
        <v>𝌈</v>
      </c>
      <c r="H88" t="s">
        <v>97</v>
      </c>
      <c r="J88" t="str" cm="1">
        <f t="array" ref="J88">_xlfn.LET(
    _xlpm.num, $E88-1,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1113</v>
      </c>
      <c r="K88" t="str" cm="1">
        <f t="array" ref="K88">_xlfn.LET(
    _xlpm.s, TEXT($J88,"0"),
    _xlpm.seq, _xlfn.SEQUENCE(LEN(_xlpm.s)),
    _xlpm.c, MID(_xlpm.s, _xlpm.seq, 1),
    _xlfn.CONCAT(_xlfn.IFS(_xlpm.c="1","7",_xlpm.c="2","8",_xlpm.c="3","9",TRUE,_xlpm.c))
)</f>
        <v>7779</v>
      </c>
      <c r="L88" t="str">
        <f t="shared" si="11"/>
        <v>⚊⚊⚊𝌀</v>
      </c>
      <c r="M88" t="str">
        <f t="shared" si="10"/>
        <v>𝌈</v>
      </c>
      <c r="N88" t="str">
        <f t="shared" si="10"/>
        <v>𝌈</v>
      </c>
    </row>
    <row r="89" spans="2:14">
      <c r="B89" t="str">
        <f t="shared" si="8"/>
        <v>1D309</v>
      </c>
      <c r="C89" cm="1">
        <f t="array" ref="C89">IF($A89="",IF(ROW()=1,"",INDEX(C:C,ROW()-1)+1),HEX2DEC($A89))</f>
        <v>119561</v>
      </c>
      <c r="D89">
        <v>88</v>
      </c>
      <c r="E89">
        <v>4</v>
      </c>
      <c r="F89" t="str">
        <f t="shared" si="3"/>
        <v>𝌉</v>
      </c>
      <c r="H89" t="s">
        <v>98</v>
      </c>
      <c r="J89" t="str" cm="1">
        <f t="array" ref="J89">_xlfn.LET(
    _xlpm.num, $E89-1,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1121</v>
      </c>
      <c r="K89" t="str" cm="1">
        <f t="array" ref="K89">_xlfn.LET(
    _xlpm.s, TEXT($J89,"0"),
    _xlpm.seq, _xlfn.SEQUENCE(LEN(_xlpm.s)),
    _xlpm.c, MID(_xlpm.s, _xlpm.seq, 1),
    _xlfn.CONCAT(_xlfn.IFS(_xlpm.c="1","7",_xlpm.c="2","8",_xlpm.c="3","9",TRUE,_xlpm.c))
)</f>
        <v>7787</v>
      </c>
      <c r="L89" t="str">
        <f t="shared" si="11"/>
        <v>⚊⚊⚋⚊</v>
      </c>
      <c r="M89" t="str">
        <f t="shared" si="10"/>
        <v>𝌉</v>
      </c>
      <c r="N89" t="str">
        <f t="shared" si="10"/>
        <v>𝌉</v>
      </c>
    </row>
    <row r="90" spans="2:14">
      <c r="B90" t="str">
        <f t="shared" si="8"/>
        <v>1D30A</v>
      </c>
      <c r="C90" cm="1">
        <f t="array" ref="C90">IF($A90="",IF(ROW()=1,"",INDEX(C:C,ROW()-1)+1),HEX2DEC($A90))</f>
        <v>119562</v>
      </c>
      <c r="D90">
        <v>89</v>
      </c>
      <c r="E90">
        <v>5</v>
      </c>
      <c r="F90" t="str">
        <f t="shared" si="3"/>
        <v>𝌊</v>
      </c>
      <c r="H90" t="s">
        <v>99</v>
      </c>
      <c r="J90" t="str" cm="1">
        <f t="array" ref="J90">_xlfn.LET(
    _xlpm.num, $E90-1,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1122</v>
      </c>
      <c r="K90" t="str" cm="1">
        <f t="array" ref="K90">_xlfn.LET(
    _xlpm.s, TEXT($J90,"0"),
    _xlpm.seq, _xlfn.SEQUENCE(LEN(_xlpm.s)),
    _xlpm.c, MID(_xlpm.s, _xlpm.seq, 1),
    _xlfn.CONCAT(_xlfn.IFS(_xlpm.c="1","7",_xlpm.c="2","8",_xlpm.c="3","9",TRUE,_xlpm.c))
)</f>
        <v>7788</v>
      </c>
      <c r="L90" t="str">
        <f t="shared" si="11"/>
        <v>⚊⚊⚋⚋</v>
      </c>
      <c r="M90" t="str">
        <f t="shared" si="10"/>
        <v>𝌊</v>
      </c>
      <c r="N90" t="str">
        <f t="shared" si="10"/>
        <v>𝌊</v>
      </c>
    </row>
    <row r="91" spans="2:14">
      <c r="B91" t="str">
        <f t="shared" si="8"/>
        <v>1D30B</v>
      </c>
      <c r="C91" cm="1">
        <f t="array" ref="C91">IF($A91="",IF(ROW()=1,"",INDEX(C:C,ROW()-1)+1),HEX2DEC($A91))</f>
        <v>119563</v>
      </c>
      <c r="D91">
        <v>90</v>
      </c>
      <c r="E91">
        <v>6</v>
      </c>
      <c r="F91" t="str">
        <f t="shared" si="3"/>
        <v>𝌋</v>
      </c>
      <c r="H91" t="s">
        <v>100</v>
      </c>
      <c r="J91" t="str" cm="1">
        <f t="array" ref="J91">_xlfn.LET(
    _xlpm.num, $E91-1,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1123</v>
      </c>
      <c r="K91" t="str" cm="1">
        <f t="array" ref="K91">_xlfn.LET(
    _xlpm.s, TEXT($J91,"0"),
    _xlpm.seq, _xlfn.SEQUENCE(LEN(_xlpm.s)),
    _xlpm.c, MID(_xlpm.s, _xlpm.seq, 1),
    _xlfn.CONCAT(_xlfn.IFS(_xlpm.c="1","7",_xlpm.c="2","8",_xlpm.c="3","9",TRUE,_xlpm.c))
)</f>
        <v>7789</v>
      </c>
      <c r="L91" t="str">
        <f t="shared" si="11"/>
        <v>⚊⚊⚋𝌀</v>
      </c>
      <c r="M91" t="str">
        <f t="shared" si="10"/>
        <v>𝌋</v>
      </c>
      <c r="N91" t="str">
        <f t="shared" si="10"/>
        <v>𝌋</v>
      </c>
    </row>
    <row r="92" spans="2:14">
      <c r="B92" t="str">
        <f t="shared" si="8"/>
        <v>1D30C</v>
      </c>
      <c r="C92" cm="1">
        <f t="array" ref="C92">IF($A92="",IF(ROW()=1,"",INDEX(C:C,ROW()-1)+1),HEX2DEC($A92))</f>
        <v>119564</v>
      </c>
      <c r="D92">
        <v>91</v>
      </c>
      <c r="E92">
        <v>7</v>
      </c>
      <c r="F92" t="str">
        <f t="shared" si="3"/>
        <v>𝌌</v>
      </c>
      <c r="H92" t="s">
        <v>101</v>
      </c>
      <c r="J92" t="str" cm="1">
        <f t="array" ref="J92">_xlfn.LET(
    _xlpm.num, $E92-1,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1131</v>
      </c>
      <c r="K92" t="str" cm="1">
        <f t="array" ref="K92">_xlfn.LET(
    _xlpm.s, TEXT($J92,"0"),
    _xlpm.seq, _xlfn.SEQUENCE(LEN(_xlpm.s)),
    _xlpm.c, MID(_xlpm.s, _xlpm.seq, 1),
    _xlfn.CONCAT(_xlfn.IFS(_xlpm.c="1","7",_xlpm.c="2","8",_xlpm.c="3","9",TRUE,_xlpm.c))
)</f>
        <v>7797</v>
      </c>
      <c r="L92" t="str">
        <f t="shared" si="11"/>
        <v>⚊⚊𝌀⚊</v>
      </c>
      <c r="M92" t="str">
        <f t="shared" si="10"/>
        <v>𝌌</v>
      </c>
      <c r="N92" t="str">
        <f t="shared" si="10"/>
        <v>𝌌</v>
      </c>
    </row>
    <row r="93" spans="2:14">
      <c r="B93" t="str">
        <f t="shared" si="8"/>
        <v>1D30D</v>
      </c>
      <c r="C93" cm="1">
        <f t="array" ref="C93">IF($A93="",IF(ROW()=1,"",INDEX(C:C,ROW()-1)+1),HEX2DEC($A93))</f>
        <v>119565</v>
      </c>
      <c r="D93">
        <v>92</v>
      </c>
      <c r="E93">
        <v>8</v>
      </c>
      <c r="F93" t="str">
        <f t="shared" si="3"/>
        <v>𝌍</v>
      </c>
      <c r="H93" t="s">
        <v>102</v>
      </c>
      <c r="J93" t="str" cm="1">
        <f t="array" ref="J93">_xlfn.LET(
    _xlpm.num, $E93-1,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1132</v>
      </c>
      <c r="K93" t="str" cm="1">
        <f t="array" ref="K93">_xlfn.LET(
    _xlpm.s, TEXT($J93,"0"),
    _xlpm.seq, _xlfn.SEQUENCE(LEN(_xlpm.s)),
    _xlpm.c, MID(_xlpm.s, _xlpm.seq, 1),
    _xlfn.CONCAT(_xlfn.IFS(_xlpm.c="1","7",_xlpm.c="2","8",_xlpm.c="3","9",TRUE,_xlpm.c))
)</f>
        <v>7798</v>
      </c>
      <c r="L93" t="str">
        <f t="shared" si="11"/>
        <v>⚊⚊𝌀⚋</v>
      </c>
      <c r="M93" t="str">
        <f t="shared" si="10"/>
        <v>𝌍</v>
      </c>
      <c r="N93" t="str">
        <f t="shared" si="10"/>
        <v>𝌍</v>
      </c>
    </row>
    <row r="94" spans="2:14">
      <c r="B94" t="str">
        <f t="shared" si="8"/>
        <v>1D30E</v>
      </c>
      <c r="C94" cm="1">
        <f t="array" ref="C94">IF($A94="",IF(ROW()=1,"",INDEX(C:C,ROW()-1)+1),HEX2DEC($A94))</f>
        <v>119566</v>
      </c>
      <c r="D94">
        <v>93</v>
      </c>
      <c r="E94">
        <v>9</v>
      </c>
      <c r="F94" t="str">
        <f t="shared" si="3"/>
        <v>𝌎</v>
      </c>
      <c r="H94" s="1" t="s">
        <v>103</v>
      </c>
      <c r="I94" s="1"/>
      <c r="J94" t="str" cm="1">
        <f t="array" ref="J94">_xlfn.LET(
    _xlpm.num, $E94-1,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1133</v>
      </c>
      <c r="K94" t="str" cm="1">
        <f t="array" ref="K94">_xlfn.LET(
    _xlpm.s, TEXT($J94,"0"),
    _xlpm.seq, _xlfn.SEQUENCE(LEN(_xlpm.s)),
    _xlpm.c, MID(_xlpm.s, _xlpm.seq, 1),
    _xlfn.CONCAT(_xlfn.IFS(_xlpm.c="1","7",_xlpm.c="2","8",_xlpm.c="3","9",TRUE,_xlpm.c))
)</f>
        <v>7799</v>
      </c>
      <c r="L94" t="str">
        <f t="shared" si="11"/>
        <v>⚊⚊𝌀𝌀</v>
      </c>
      <c r="M94" t="str">
        <f t="shared" si="10"/>
        <v>𝌎</v>
      </c>
      <c r="N94" t="str">
        <f t="shared" si="10"/>
        <v>𝌎</v>
      </c>
    </row>
    <row r="95" spans="2:14">
      <c r="B95" t="str">
        <f t="shared" si="8"/>
        <v>1D30F</v>
      </c>
      <c r="C95" cm="1">
        <f t="array" ref="C95">IF($A95="",IF(ROW()=1,"",INDEX(C:C,ROW()-1)+1),HEX2DEC($A95))</f>
        <v>119567</v>
      </c>
      <c r="D95">
        <v>94</v>
      </c>
      <c r="E95">
        <v>10</v>
      </c>
      <c r="F95" t="str">
        <f t="shared" si="3"/>
        <v>𝌏</v>
      </c>
      <c r="H95" t="s">
        <v>104</v>
      </c>
      <c r="J95" t="str" cm="1">
        <f t="array" ref="J95">_xlfn.LET(
    _xlpm.num, $E95-1,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1211</v>
      </c>
      <c r="K95" t="str" cm="1">
        <f t="array" ref="K95">_xlfn.LET(
    _xlpm.s, TEXT($J95,"0"),
    _xlpm.seq, _xlfn.SEQUENCE(LEN(_xlpm.s)),
    _xlpm.c, MID(_xlpm.s, _xlpm.seq, 1),
    _xlfn.CONCAT(_xlfn.IFS(_xlpm.c="1","7",_xlpm.c="2","8",_xlpm.c="3","9",TRUE,_xlpm.c))
)</f>
        <v>7877</v>
      </c>
      <c r="L95" t="str">
        <f t="shared" si="11"/>
        <v>⚊⚋⚊⚊</v>
      </c>
      <c r="M95" t="str">
        <f t="shared" si="10"/>
        <v>𝌏</v>
      </c>
      <c r="N95" t="str">
        <f t="shared" si="10"/>
        <v>𝌏</v>
      </c>
    </row>
    <row r="96" spans="2:14">
      <c r="B96" t="str">
        <f t="shared" si="8"/>
        <v>1D310</v>
      </c>
      <c r="C96" cm="1">
        <f t="array" ref="C96">IF($A96="",IF(ROW()=1,"",INDEX(C:C,ROW()-1)+1),HEX2DEC($A96))</f>
        <v>119568</v>
      </c>
      <c r="D96">
        <v>95</v>
      </c>
      <c r="E96">
        <v>11</v>
      </c>
      <c r="F96" t="str">
        <f t="shared" si="3"/>
        <v>𝌐</v>
      </c>
      <c r="H96" t="s">
        <v>105</v>
      </c>
      <c r="J96" t="str" cm="1">
        <f t="array" ref="J96">_xlfn.LET(
    _xlpm.num, $E96-1,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1212</v>
      </c>
      <c r="K96" t="str" cm="1">
        <f t="array" ref="K96">_xlfn.LET(
    _xlpm.s, TEXT($J96,"0"),
    _xlpm.seq, _xlfn.SEQUENCE(LEN(_xlpm.s)),
    _xlpm.c, MID(_xlpm.s, _xlpm.seq, 1),
    _xlfn.CONCAT(_xlfn.IFS(_xlpm.c="1","7",_xlpm.c="2","8",_xlpm.c="3","9",TRUE,_xlpm.c))
)</f>
        <v>7878</v>
      </c>
      <c r="L96" t="str">
        <f t="shared" si="11"/>
        <v>⚊⚋⚊⚋</v>
      </c>
      <c r="M96" t="str">
        <f t="shared" si="10"/>
        <v>𝌐</v>
      </c>
      <c r="N96" t="str">
        <f t="shared" si="10"/>
        <v>𝌐</v>
      </c>
    </row>
    <row r="97" spans="2:14">
      <c r="B97" t="str">
        <f t="shared" si="8"/>
        <v>1D311</v>
      </c>
      <c r="C97" cm="1">
        <f t="array" ref="C97">IF($A97="",IF(ROW()=1,"",INDEX(C:C,ROW()-1)+1),HEX2DEC($A97))</f>
        <v>119569</v>
      </c>
      <c r="D97">
        <v>96</v>
      </c>
      <c r="E97">
        <v>12</v>
      </c>
      <c r="F97" t="str">
        <f t="shared" si="3"/>
        <v>𝌑</v>
      </c>
      <c r="H97" t="s">
        <v>106</v>
      </c>
      <c r="J97" t="str" cm="1">
        <f t="array" ref="J97">_xlfn.LET(
    _xlpm.num, $E97-1,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1213</v>
      </c>
      <c r="K97" t="str" cm="1">
        <f t="array" ref="K97">_xlfn.LET(
    _xlpm.s, TEXT($J97,"0"),
    _xlpm.seq, _xlfn.SEQUENCE(LEN(_xlpm.s)),
    _xlpm.c, MID(_xlpm.s, _xlpm.seq, 1),
    _xlfn.CONCAT(_xlfn.IFS(_xlpm.c="1","7",_xlpm.c="2","8",_xlpm.c="3","9",TRUE,_xlpm.c))
)</f>
        <v>7879</v>
      </c>
      <c r="L97" t="str">
        <f t="shared" si="11"/>
        <v>⚊⚋⚊𝌀</v>
      </c>
      <c r="M97" t="str">
        <f t="shared" si="10"/>
        <v>𝌑</v>
      </c>
      <c r="N97" t="str">
        <f t="shared" si="10"/>
        <v>𝌑</v>
      </c>
    </row>
    <row r="98" spans="2:14">
      <c r="B98" t="str">
        <f t="shared" si="8"/>
        <v>1D312</v>
      </c>
      <c r="C98" cm="1">
        <f t="array" ref="C98">IF($A98="",IF(ROW()=1,"",INDEX(C:C,ROW()-1)+1),HEX2DEC($A98))</f>
        <v>119570</v>
      </c>
      <c r="D98">
        <v>97</v>
      </c>
      <c r="E98">
        <v>13</v>
      </c>
      <c r="F98" t="str">
        <f t="shared" si="3"/>
        <v>𝌒</v>
      </c>
      <c r="H98" t="s">
        <v>107</v>
      </c>
      <c r="J98" t="str" cm="1">
        <f t="array" ref="J98">_xlfn.LET(
    _xlpm.num, $E98-1,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1221</v>
      </c>
      <c r="K98" t="str" cm="1">
        <f t="array" ref="K98">_xlfn.LET(
    _xlpm.s, TEXT($J98,"0"),
    _xlpm.seq, _xlfn.SEQUENCE(LEN(_xlpm.s)),
    _xlpm.c, MID(_xlpm.s, _xlpm.seq, 1),
    _xlfn.CONCAT(_xlfn.IFS(_xlpm.c="1","7",_xlpm.c="2","8",_xlpm.c="3","9",TRUE,_xlpm.c))
)</f>
        <v>7887</v>
      </c>
      <c r="L98" t="str">
        <f t="shared" si="11"/>
        <v>⚊⚋⚋⚊</v>
      </c>
      <c r="M98" t="str">
        <f t="shared" ref="M98:N113" si="12">_xlfn.UNICHAR($C98)</f>
        <v>𝌒</v>
      </c>
      <c r="N98" t="str">
        <f t="shared" si="12"/>
        <v>𝌒</v>
      </c>
    </row>
    <row r="99" spans="2:14">
      <c r="B99" t="str">
        <f t="shared" si="8"/>
        <v>1D313</v>
      </c>
      <c r="C99" cm="1">
        <f t="array" ref="C99">IF($A99="",IF(ROW()=1,"",INDEX(C:C,ROW()-1)+1),HEX2DEC($A99))</f>
        <v>119571</v>
      </c>
      <c r="D99">
        <v>98</v>
      </c>
      <c r="E99">
        <v>14</v>
      </c>
      <c r="F99" t="str">
        <f t="shared" si="3"/>
        <v>𝌓</v>
      </c>
      <c r="H99" t="s">
        <v>108</v>
      </c>
      <c r="J99" t="str" cm="1">
        <f t="array" ref="J99">_xlfn.LET(
    _xlpm.num, $E99-1,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1222</v>
      </c>
      <c r="K99" t="str" cm="1">
        <f t="array" ref="K99">_xlfn.LET(
    _xlpm.s, TEXT($J99,"0"),
    _xlpm.seq, _xlfn.SEQUENCE(LEN(_xlpm.s)),
    _xlpm.c, MID(_xlpm.s, _xlpm.seq, 1),
    _xlfn.CONCAT(_xlfn.IFS(_xlpm.c="1","7",_xlpm.c="2","8",_xlpm.c="3","9",TRUE,_xlpm.c))
)</f>
        <v>7888</v>
      </c>
      <c r="L99" t="str">
        <f t="shared" si="11"/>
        <v>⚊⚋⚋⚋</v>
      </c>
      <c r="M99" t="str">
        <f t="shared" si="12"/>
        <v>𝌓</v>
      </c>
      <c r="N99" t="str">
        <f t="shared" si="12"/>
        <v>𝌓</v>
      </c>
    </row>
    <row r="100" spans="2:14">
      <c r="B100" t="str">
        <f t="shared" si="8"/>
        <v>1D314</v>
      </c>
      <c r="C100" cm="1">
        <f t="array" ref="C100">IF($A100="",IF(ROW()=1,"",INDEX(C:C,ROW()-1)+1),HEX2DEC($A100))</f>
        <v>119572</v>
      </c>
      <c r="D100">
        <v>99</v>
      </c>
      <c r="E100">
        <v>15</v>
      </c>
      <c r="F100" t="str">
        <f t="shared" si="3"/>
        <v>𝌔</v>
      </c>
      <c r="H100" t="s">
        <v>109</v>
      </c>
      <c r="J100" t="str" cm="1">
        <f t="array" ref="J100">_xlfn.LET(
    _xlpm.num, $E100-1,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1223</v>
      </c>
      <c r="K100" t="str" cm="1">
        <f t="array" ref="K100">_xlfn.LET(
    _xlpm.s, TEXT($J100,"0"),
    _xlpm.seq, _xlfn.SEQUENCE(LEN(_xlpm.s)),
    _xlpm.c, MID(_xlpm.s, _xlpm.seq, 1),
    _xlfn.CONCAT(_xlfn.IFS(_xlpm.c="1","7",_xlpm.c="2","8",_xlpm.c="3","9",TRUE,_xlpm.c))
)</f>
        <v>7889</v>
      </c>
      <c r="L100" t="str">
        <f t="shared" si="11"/>
        <v>⚊⚋⚋𝌀</v>
      </c>
      <c r="M100" t="str">
        <f t="shared" si="12"/>
        <v>𝌔</v>
      </c>
      <c r="N100" t="str">
        <f t="shared" si="12"/>
        <v>𝌔</v>
      </c>
    </row>
    <row r="101" spans="2:14">
      <c r="B101" t="str">
        <f t="shared" si="8"/>
        <v>1D315</v>
      </c>
      <c r="C101" cm="1">
        <f t="array" ref="C101">IF($A101="",IF(ROW()=1,"",INDEX(C:C,ROW()-1)+1),HEX2DEC($A101))</f>
        <v>119573</v>
      </c>
      <c r="D101">
        <v>100</v>
      </c>
      <c r="E101">
        <v>16</v>
      </c>
      <c r="F101" t="str">
        <f t="shared" si="3"/>
        <v>𝌕</v>
      </c>
      <c r="H101" t="s">
        <v>110</v>
      </c>
      <c r="J101" t="str" cm="1">
        <f t="array" ref="J101">_xlfn.LET(
    _xlpm.num, $E101-1,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1231</v>
      </c>
      <c r="K101" t="str" cm="1">
        <f t="array" ref="K101">_xlfn.LET(
    _xlpm.s, TEXT($J101,"0"),
    _xlpm.seq, _xlfn.SEQUENCE(LEN(_xlpm.s)),
    _xlpm.c, MID(_xlpm.s, _xlpm.seq, 1),
    _xlfn.CONCAT(_xlfn.IFS(_xlpm.c="1","7",_xlpm.c="2","8",_xlpm.c="3","9",TRUE,_xlpm.c))
)</f>
        <v>7897</v>
      </c>
      <c r="L101" t="str">
        <f t="shared" si="11"/>
        <v>⚊⚋𝌀⚊</v>
      </c>
      <c r="M101" t="str">
        <f t="shared" si="12"/>
        <v>𝌕</v>
      </c>
      <c r="N101" t="str">
        <f t="shared" si="12"/>
        <v>𝌕</v>
      </c>
    </row>
    <row r="102" spans="2:14">
      <c r="B102" t="str">
        <f t="shared" si="8"/>
        <v>1D316</v>
      </c>
      <c r="C102" cm="1">
        <f t="array" ref="C102">IF($A102="",IF(ROW()=1,"",INDEX(C:C,ROW()-1)+1),HEX2DEC($A102))</f>
        <v>119574</v>
      </c>
      <c r="D102">
        <v>101</v>
      </c>
      <c r="E102">
        <v>17</v>
      </c>
      <c r="F102" t="str">
        <f t="shared" si="3"/>
        <v>𝌖</v>
      </c>
      <c r="H102" t="s">
        <v>111</v>
      </c>
      <c r="J102" t="str" cm="1">
        <f t="array" ref="J102">_xlfn.LET(
    _xlpm.num, $E102-1,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1232</v>
      </c>
      <c r="K102" t="str" cm="1">
        <f t="array" ref="K102">_xlfn.LET(
    _xlpm.s, TEXT($J102,"0"),
    _xlpm.seq, _xlfn.SEQUENCE(LEN(_xlpm.s)),
    _xlpm.c, MID(_xlpm.s, _xlpm.seq, 1),
    _xlfn.CONCAT(_xlfn.IFS(_xlpm.c="1","7",_xlpm.c="2","8",_xlpm.c="3","9",TRUE,_xlpm.c))
)</f>
        <v>7898</v>
      </c>
      <c r="L102" t="str">
        <f t="shared" si="11"/>
        <v>⚊⚋𝌀⚋</v>
      </c>
      <c r="M102" t="str">
        <f t="shared" si="12"/>
        <v>𝌖</v>
      </c>
      <c r="N102" t="str">
        <f t="shared" si="12"/>
        <v>𝌖</v>
      </c>
    </row>
    <row r="103" spans="2:14">
      <c r="B103" t="str">
        <f t="shared" si="8"/>
        <v>1D317</v>
      </c>
      <c r="C103" cm="1">
        <f t="array" ref="C103">IF($A103="",IF(ROW()=1,"",INDEX(C:C,ROW()-1)+1),HEX2DEC($A103))</f>
        <v>119575</v>
      </c>
      <c r="D103">
        <v>102</v>
      </c>
      <c r="E103">
        <v>18</v>
      </c>
      <c r="F103" t="str">
        <f t="shared" si="3"/>
        <v>𝌗</v>
      </c>
      <c r="H103" t="s">
        <v>112</v>
      </c>
      <c r="J103" t="str" cm="1">
        <f t="array" ref="J103">_xlfn.LET(
    _xlpm.num, $E103-1,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1233</v>
      </c>
      <c r="K103" t="str" cm="1">
        <f t="array" ref="K103">_xlfn.LET(
    _xlpm.s, TEXT($J103,"0"),
    _xlpm.seq, _xlfn.SEQUENCE(LEN(_xlpm.s)),
    _xlpm.c, MID(_xlpm.s, _xlpm.seq, 1),
    _xlfn.CONCAT(_xlfn.IFS(_xlpm.c="1","7",_xlpm.c="2","8",_xlpm.c="3","9",TRUE,_xlpm.c))
)</f>
        <v>7899</v>
      </c>
      <c r="L103" t="str">
        <f t="shared" si="11"/>
        <v>⚊⚋𝌀𝌀</v>
      </c>
      <c r="M103" t="str">
        <f t="shared" si="12"/>
        <v>𝌗</v>
      </c>
      <c r="N103" t="str">
        <f t="shared" si="12"/>
        <v>𝌗</v>
      </c>
    </row>
    <row r="104" spans="2:14">
      <c r="B104" t="str">
        <f t="shared" si="8"/>
        <v>1D318</v>
      </c>
      <c r="C104" cm="1">
        <f t="array" ref="C104">IF($A104="",IF(ROW()=1,"",INDEX(C:C,ROW()-1)+1),HEX2DEC($A104))</f>
        <v>119576</v>
      </c>
      <c r="D104">
        <v>103</v>
      </c>
      <c r="E104">
        <v>19</v>
      </c>
      <c r="F104" t="str">
        <f t="shared" si="3"/>
        <v>𝌘</v>
      </c>
      <c r="H104" t="s">
        <v>113</v>
      </c>
      <c r="J104" t="str" cm="1">
        <f t="array" ref="J104">_xlfn.LET(
    _xlpm.num, $E104-1,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1311</v>
      </c>
      <c r="K104" t="str" cm="1">
        <f t="array" ref="K104">_xlfn.LET(
    _xlpm.s, TEXT($J104,"0"),
    _xlpm.seq, _xlfn.SEQUENCE(LEN(_xlpm.s)),
    _xlpm.c, MID(_xlpm.s, _xlpm.seq, 1),
    _xlfn.CONCAT(_xlfn.IFS(_xlpm.c="1","7",_xlpm.c="2","8",_xlpm.c="3","9",TRUE,_xlpm.c))
)</f>
        <v>7977</v>
      </c>
      <c r="L104" t="str">
        <f t="shared" si="11"/>
        <v>⚊𝌀⚊⚊</v>
      </c>
      <c r="M104" t="str">
        <f t="shared" si="12"/>
        <v>𝌘</v>
      </c>
      <c r="N104" t="str">
        <f t="shared" si="12"/>
        <v>𝌘</v>
      </c>
    </row>
    <row r="105" spans="2:14">
      <c r="B105" t="str">
        <f t="shared" si="8"/>
        <v>1D319</v>
      </c>
      <c r="C105" cm="1">
        <f t="array" ref="C105">IF($A105="",IF(ROW()=1,"",INDEX(C:C,ROW()-1)+1),HEX2DEC($A105))</f>
        <v>119577</v>
      </c>
      <c r="D105">
        <v>104</v>
      </c>
      <c r="E105">
        <v>20</v>
      </c>
      <c r="F105" t="str">
        <f t="shared" si="3"/>
        <v>𝌙</v>
      </c>
      <c r="H105" t="s">
        <v>114</v>
      </c>
      <c r="J105" t="str" cm="1">
        <f t="array" ref="J105">_xlfn.LET(
    _xlpm.num, $E105-1,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1312</v>
      </c>
      <c r="K105" t="str" cm="1">
        <f t="array" ref="K105">_xlfn.LET(
    _xlpm.s, TEXT($J105,"0"),
    _xlpm.seq, _xlfn.SEQUENCE(LEN(_xlpm.s)),
    _xlpm.c, MID(_xlpm.s, _xlpm.seq, 1),
    _xlfn.CONCAT(_xlfn.IFS(_xlpm.c="1","7",_xlpm.c="2","8",_xlpm.c="3","9",TRUE,_xlpm.c))
)</f>
        <v>7978</v>
      </c>
      <c r="L105" t="str">
        <f t="shared" si="11"/>
        <v>⚊𝌀⚊⚋</v>
      </c>
      <c r="M105" t="str">
        <f t="shared" si="12"/>
        <v>𝌙</v>
      </c>
      <c r="N105" t="str">
        <f t="shared" si="12"/>
        <v>𝌙</v>
      </c>
    </row>
    <row r="106" spans="2:14">
      <c r="B106" t="str">
        <f t="shared" si="8"/>
        <v>1D31A</v>
      </c>
      <c r="C106" cm="1">
        <f t="array" ref="C106">IF($A106="",IF(ROW()=1,"",INDEX(C:C,ROW()-1)+1),HEX2DEC($A106))</f>
        <v>119578</v>
      </c>
      <c r="D106">
        <v>105</v>
      </c>
      <c r="E106">
        <v>21</v>
      </c>
      <c r="F106" t="str">
        <f t="shared" si="3"/>
        <v>𝌚</v>
      </c>
      <c r="H106" t="s">
        <v>115</v>
      </c>
      <c r="J106" t="str" cm="1">
        <f t="array" ref="J106">_xlfn.LET(
    _xlpm.num, $E106-1,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1313</v>
      </c>
      <c r="K106" t="str" cm="1">
        <f t="array" ref="K106">_xlfn.LET(
    _xlpm.s, TEXT($J106,"0"),
    _xlpm.seq, _xlfn.SEQUENCE(LEN(_xlpm.s)),
    _xlpm.c, MID(_xlpm.s, _xlpm.seq, 1),
    _xlfn.CONCAT(_xlfn.IFS(_xlpm.c="1","7",_xlpm.c="2","8",_xlpm.c="3","9",TRUE,_xlpm.c))
)</f>
        <v>7979</v>
      </c>
      <c r="L106" t="str">
        <f t="shared" si="11"/>
        <v>⚊𝌀⚊𝌀</v>
      </c>
      <c r="M106" t="str">
        <f t="shared" si="12"/>
        <v>𝌚</v>
      </c>
      <c r="N106" t="str">
        <f t="shared" si="12"/>
        <v>𝌚</v>
      </c>
    </row>
    <row r="107" spans="2:14">
      <c r="B107" t="str">
        <f t="shared" si="8"/>
        <v>1D31B</v>
      </c>
      <c r="C107" cm="1">
        <f t="array" ref="C107">IF($A107="",IF(ROW()=1,"",INDEX(C:C,ROW()-1)+1),HEX2DEC($A107))</f>
        <v>119579</v>
      </c>
      <c r="D107">
        <v>106</v>
      </c>
      <c r="E107">
        <v>22</v>
      </c>
      <c r="F107" t="str">
        <f t="shared" si="3"/>
        <v>𝌛</v>
      </c>
      <c r="H107" t="s">
        <v>116</v>
      </c>
      <c r="J107" t="str" cm="1">
        <f t="array" ref="J107">_xlfn.LET(
    _xlpm.num, $E107-1,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1321</v>
      </c>
      <c r="K107" t="str" cm="1">
        <f t="array" ref="K107">_xlfn.LET(
    _xlpm.s, TEXT($J107,"0"),
    _xlpm.seq, _xlfn.SEQUENCE(LEN(_xlpm.s)),
    _xlpm.c, MID(_xlpm.s, _xlpm.seq, 1),
    _xlfn.CONCAT(_xlfn.IFS(_xlpm.c="1","7",_xlpm.c="2","8",_xlpm.c="3","9",TRUE,_xlpm.c))
)</f>
        <v>7987</v>
      </c>
      <c r="L107" t="str">
        <f t="shared" si="11"/>
        <v>⚊𝌀⚋⚊</v>
      </c>
      <c r="M107" t="str">
        <f t="shared" si="12"/>
        <v>𝌛</v>
      </c>
      <c r="N107" t="str">
        <f t="shared" si="12"/>
        <v>𝌛</v>
      </c>
    </row>
    <row r="108" spans="2:14">
      <c r="B108" t="str">
        <f t="shared" si="8"/>
        <v>1D31C</v>
      </c>
      <c r="C108" cm="1">
        <f t="array" ref="C108">IF($A108="",IF(ROW()=1,"",INDEX(C:C,ROW()-1)+1),HEX2DEC($A108))</f>
        <v>119580</v>
      </c>
      <c r="D108">
        <v>107</v>
      </c>
      <c r="E108">
        <v>23</v>
      </c>
      <c r="F108" t="str">
        <f t="shared" si="3"/>
        <v>𝌜</v>
      </c>
      <c r="H108" t="s">
        <v>117</v>
      </c>
      <c r="J108" t="str" cm="1">
        <f t="array" ref="J108">_xlfn.LET(
    _xlpm.num, $E108-1,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1322</v>
      </c>
      <c r="K108" t="str" cm="1">
        <f t="array" ref="K108">_xlfn.LET(
    _xlpm.s, TEXT($J108,"0"),
    _xlpm.seq, _xlfn.SEQUENCE(LEN(_xlpm.s)),
    _xlpm.c, MID(_xlpm.s, _xlpm.seq, 1),
    _xlfn.CONCAT(_xlfn.IFS(_xlpm.c="1","7",_xlpm.c="2","8",_xlpm.c="3","9",TRUE,_xlpm.c))
)</f>
        <v>7988</v>
      </c>
      <c r="L108" t="str">
        <f t="shared" si="11"/>
        <v>⚊𝌀⚋⚋</v>
      </c>
      <c r="M108" t="str">
        <f t="shared" si="12"/>
        <v>𝌜</v>
      </c>
      <c r="N108" t="str">
        <f t="shared" si="12"/>
        <v>𝌜</v>
      </c>
    </row>
    <row r="109" spans="2:14">
      <c r="B109" t="str">
        <f t="shared" si="8"/>
        <v>1D31D</v>
      </c>
      <c r="C109" cm="1">
        <f t="array" ref="C109">IF($A109="",IF(ROW()=1,"",INDEX(C:C,ROW()-1)+1),HEX2DEC($A109))</f>
        <v>119581</v>
      </c>
      <c r="D109">
        <v>108</v>
      </c>
      <c r="E109">
        <v>24</v>
      </c>
      <c r="F109" t="str">
        <f t="shared" si="3"/>
        <v>𝌝</v>
      </c>
      <c r="H109" t="s">
        <v>118</v>
      </c>
      <c r="J109" t="str" cm="1">
        <f t="array" ref="J109">_xlfn.LET(
    _xlpm.num, $E109-1,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1323</v>
      </c>
      <c r="K109" t="str" cm="1">
        <f t="array" ref="K109">_xlfn.LET(
    _xlpm.s, TEXT($J109,"0"),
    _xlpm.seq, _xlfn.SEQUENCE(LEN(_xlpm.s)),
    _xlpm.c, MID(_xlpm.s, _xlpm.seq, 1),
    _xlfn.CONCAT(_xlfn.IFS(_xlpm.c="1","7",_xlpm.c="2","8",_xlpm.c="3","9",TRUE,_xlpm.c))
)</f>
        <v>7989</v>
      </c>
      <c r="L109" t="str">
        <f t="shared" si="11"/>
        <v>⚊𝌀⚋𝌀</v>
      </c>
      <c r="M109" t="str">
        <f t="shared" si="12"/>
        <v>𝌝</v>
      </c>
      <c r="N109" t="str">
        <f t="shared" si="12"/>
        <v>𝌝</v>
      </c>
    </row>
    <row r="110" spans="2:14">
      <c r="B110" t="str">
        <f t="shared" si="8"/>
        <v>1D31E</v>
      </c>
      <c r="C110" cm="1">
        <f t="array" ref="C110">IF($A110="",IF(ROW()=1,"",INDEX(C:C,ROW()-1)+1),HEX2DEC($A110))</f>
        <v>119582</v>
      </c>
      <c r="D110">
        <v>109</v>
      </c>
      <c r="E110">
        <v>25</v>
      </c>
      <c r="F110" t="str">
        <f t="shared" si="3"/>
        <v>𝌞</v>
      </c>
      <c r="H110" t="s">
        <v>119</v>
      </c>
      <c r="J110" t="str" cm="1">
        <f t="array" ref="J110">_xlfn.LET(
    _xlpm.num, $E110-1,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1331</v>
      </c>
      <c r="K110" t="str" cm="1">
        <f t="array" ref="K110">_xlfn.LET(
    _xlpm.s, TEXT($J110,"0"),
    _xlpm.seq, _xlfn.SEQUENCE(LEN(_xlpm.s)),
    _xlpm.c, MID(_xlpm.s, _xlpm.seq, 1),
    _xlfn.CONCAT(_xlfn.IFS(_xlpm.c="1","7",_xlpm.c="2","8",_xlpm.c="3","9",TRUE,_xlpm.c))
)</f>
        <v>7997</v>
      </c>
      <c r="L110" t="str">
        <f t="shared" si="11"/>
        <v>⚊𝌀𝌀⚊</v>
      </c>
      <c r="M110" t="str">
        <f t="shared" si="12"/>
        <v>𝌞</v>
      </c>
      <c r="N110" t="str">
        <f t="shared" si="12"/>
        <v>𝌞</v>
      </c>
    </row>
    <row r="111" spans="2:14">
      <c r="B111" t="str">
        <f t="shared" si="8"/>
        <v>1D31F</v>
      </c>
      <c r="C111" cm="1">
        <f t="array" ref="C111">IF($A111="",IF(ROW()=1,"",INDEX(C:C,ROW()-1)+1),HEX2DEC($A111))</f>
        <v>119583</v>
      </c>
      <c r="D111">
        <v>110</v>
      </c>
      <c r="E111">
        <v>26</v>
      </c>
      <c r="F111" t="str">
        <f t="shared" si="3"/>
        <v>𝌟</v>
      </c>
      <c r="H111" t="s">
        <v>120</v>
      </c>
      <c r="J111" t="str" cm="1">
        <f t="array" ref="J111">_xlfn.LET(
    _xlpm.num, $E111-1,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1332</v>
      </c>
      <c r="K111" t="str" cm="1">
        <f t="array" ref="K111">_xlfn.LET(
    _xlpm.s, TEXT($J111,"0"),
    _xlpm.seq, _xlfn.SEQUENCE(LEN(_xlpm.s)),
    _xlpm.c, MID(_xlpm.s, _xlpm.seq, 1),
    _xlfn.CONCAT(_xlfn.IFS(_xlpm.c="1","7",_xlpm.c="2","8",_xlpm.c="3","9",TRUE,_xlpm.c))
)</f>
        <v>7998</v>
      </c>
      <c r="L111" t="str">
        <f t="shared" si="11"/>
        <v>⚊𝌀𝌀⚋</v>
      </c>
      <c r="M111" t="str">
        <f t="shared" si="12"/>
        <v>𝌟</v>
      </c>
      <c r="N111" t="str">
        <f t="shared" si="12"/>
        <v>𝌟</v>
      </c>
    </row>
    <row r="112" spans="2:14">
      <c r="B112" t="str">
        <f t="shared" si="8"/>
        <v>1D320</v>
      </c>
      <c r="C112" cm="1">
        <f t="array" ref="C112">IF($A112="",IF(ROW()=1,"",INDEX(C:C,ROW()-1)+1),HEX2DEC($A112))</f>
        <v>119584</v>
      </c>
      <c r="D112">
        <v>111</v>
      </c>
      <c r="E112">
        <v>27</v>
      </c>
      <c r="F112" t="str">
        <f t="shared" si="3"/>
        <v>𝌠</v>
      </c>
      <c r="H112" t="s">
        <v>121</v>
      </c>
      <c r="J112" t="str" cm="1">
        <f t="array" ref="J112">_xlfn.LET(
    _xlpm.num, $E112-1,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1333</v>
      </c>
      <c r="K112" t="str" cm="1">
        <f t="array" ref="K112">_xlfn.LET(
    _xlpm.s, TEXT($J112,"0"),
    _xlpm.seq, _xlfn.SEQUENCE(LEN(_xlpm.s)),
    _xlpm.c, MID(_xlpm.s, _xlpm.seq, 1),
    _xlfn.CONCAT(_xlfn.IFS(_xlpm.c="1","7",_xlpm.c="2","8",_xlpm.c="3","9",TRUE,_xlpm.c))
)</f>
        <v>7999</v>
      </c>
      <c r="L112" t="str">
        <f t="shared" si="11"/>
        <v>⚊𝌀𝌀𝌀</v>
      </c>
      <c r="M112" t="str">
        <f t="shared" si="12"/>
        <v>𝌠</v>
      </c>
      <c r="N112" t="str">
        <f t="shared" si="12"/>
        <v>𝌠</v>
      </c>
    </row>
    <row r="113" spans="2:14">
      <c r="B113" t="str">
        <f t="shared" si="8"/>
        <v>1D321</v>
      </c>
      <c r="C113" cm="1">
        <f t="array" ref="C113">IF($A113="",IF(ROW()=1,"",INDEX(C:C,ROW()-1)+1),HEX2DEC($A113))</f>
        <v>119585</v>
      </c>
      <c r="D113">
        <v>112</v>
      </c>
      <c r="E113">
        <v>28</v>
      </c>
      <c r="F113" t="str">
        <f t="shared" si="3"/>
        <v>𝌡</v>
      </c>
      <c r="H113" t="s">
        <v>122</v>
      </c>
      <c r="J113" t="str" cm="1">
        <f t="array" ref="J113">_xlfn.LET(
    _xlpm.num, $E113-1,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2111</v>
      </c>
      <c r="K113" t="str" cm="1">
        <f t="array" ref="K113">_xlfn.LET(
    _xlpm.s, TEXT($J113,"0"),
    _xlpm.seq, _xlfn.SEQUENCE(LEN(_xlpm.s)),
    _xlpm.c, MID(_xlpm.s, _xlpm.seq, 1),
    _xlfn.CONCAT(_xlfn.IFS(_xlpm.c="1","7",_xlpm.c="2","8",_xlpm.c="3","9",TRUE,_xlpm.c))
)</f>
        <v>8777</v>
      </c>
      <c r="L113" t="str">
        <f t="shared" si="11"/>
        <v>⚋⚊⚊⚊</v>
      </c>
      <c r="M113" t="str">
        <f t="shared" si="12"/>
        <v>𝌡</v>
      </c>
      <c r="N113" t="str">
        <f t="shared" si="12"/>
        <v>𝌡</v>
      </c>
    </row>
    <row r="114" spans="2:14">
      <c r="B114" t="str">
        <f t="shared" si="8"/>
        <v>1D322</v>
      </c>
      <c r="C114" cm="1">
        <f t="array" ref="C114">IF($A114="",IF(ROW()=1,"",INDEX(C:C,ROW()-1)+1),HEX2DEC($A114))</f>
        <v>119586</v>
      </c>
      <c r="D114">
        <v>113</v>
      </c>
      <c r="E114">
        <v>29</v>
      </c>
      <c r="F114" t="str">
        <f t="shared" si="3"/>
        <v>𝌢</v>
      </c>
      <c r="H114" t="s">
        <v>123</v>
      </c>
      <c r="J114" t="str" cm="1">
        <f t="array" ref="J114">_xlfn.LET(
    _xlpm.num, $E114-1,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2112</v>
      </c>
      <c r="K114" t="str" cm="1">
        <f t="array" ref="K114">_xlfn.LET(
    _xlpm.s, TEXT($J114,"0"),
    _xlpm.seq, _xlfn.SEQUENCE(LEN(_xlpm.s)),
    _xlpm.c, MID(_xlpm.s, _xlpm.seq, 1),
    _xlfn.CONCAT(_xlfn.IFS(_xlpm.c="1","7",_xlpm.c="2","8",_xlpm.c="3","9",TRUE,_xlpm.c))
)</f>
        <v>8778</v>
      </c>
      <c r="L114" t="str">
        <f t="shared" si="11"/>
        <v>⚋⚊⚊⚋</v>
      </c>
      <c r="M114" t="str">
        <f t="shared" ref="M114:N129" si="13">_xlfn.UNICHAR($C114)</f>
        <v>𝌢</v>
      </c>
      <c r="N114" t="str">
        <f t="shared" si="13"/>
        <v>𝌢</v>
      </c>
    </row>
    <row r="115" spans="2:14">
      <c r="B115" t="str">
        <f t="shared" si="8"/>
        <v>1D323</v>
      </c>
      <c r="C115" cm="1">
        <f t="array" ref="C115">IF($A115="",IF(ROW()=1,"",INDEX(C:C,ROW()-1)+1),HEX2DEC($A115))</f>
        <v>119587</v>
      </c>
      <c r="D115">
        <v>114</v>
      </c>
      <c r="E115">
        <v>30</v>
      </c>
      <c r="F115" t="str">
        <f t="shared" si="3"/>
        <v>𝌣</v>
      </c>
      <c r="H115" t="s">
        <v>124</v>
      </c>
      <c r="J115" t="str" cm="1">
        <f t="array" ref="J115">_xlfn.LET(
    _xlpm.num, $E115-1,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2113</v>
      </c>
      <c r="K115" t="str" cm="1">
        <f t="array" ref="K115">_xlfn.LET(
    _xlpm.s, TEXT($J115,"0"),
    _xlpm.seq, _xlfn.SEQUENCE(LEN(_xlpm.s)),
    _xlpm.c, MID(_xlpm.s, _xlpm.seq, 1),
    _xlfn.CONCAT(_xlfn.IFS(_xlpm.c="1","7",_xlpm.c="2","8",_xlpm.c="3","9",TRUE,_xlpm.c))
)</f>
        <v>8779</v>
      </c>
      <c r="L115" t="str">
        <f t="shared" si="11"/>
        <v>⚋⚊⚊𝌀</v>
      </c>
      <c r="M115" t="str">
        <f t="shared" si="13"/>
        <v>𝌣</v>
      </c>
      <c r="N115" t="str">
        <f t="shared" si="13"/>
        <v>𝌣</v>
      </c>
    </row>
    <row r="116" spans="2:14">
      <c r="B116" t="str">
        <f t="shared" si="8"/>
        <v>1D324</v>
      </c>
      <c r="C116" cm="1">
        <f t="array" ref="C116">IF($A116="",IF(ROW()=1,"",INDEX(C:C,ROW()-1)+1),HEX2DEC($A116))</f>
        <v>119588</v>
      </c>
      <c r="D116">
        <v>115</v>
      </c>
      <c r="E116">
        <v>31</v>
      </c>
      <c r="F116" t="str">
        <f t="shared" si="3"/>
        <v>𝌤</v>
      </c>
      <c r="H116" t="s">
        <v>125</v>
      </c>
      <c r="J116" t="str" cm="1">
        <f t="array" ref="J116">_xlfn.LET(
    _xlpm.num, $E116-1,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2121</v>
      </c>
      <c r="K116" t="str" cm="1">
        <f t="array" ref="K116">_xlfn.LET(
    _xlpm.s, TEXT($J116,"0"),
    _xlpm.seq, _xlfn.SEQUENCE(LEN(_xlpm.s)),
    _xlpm.c, MID(_xlpm.s, _xlpm.seq, 1),
    _xlfn.CONCAT(_xlfn.IFS(_xlpm.c="1","7",_xlpm.c="2","8",_xlpm.c="3","9",TRUE,_xlpm.c))
)</f>
        <v>8787</v>
      </c>
      <c r="L116" t="str">
        <f t="shared" si="11"/>
        <v>⚋⚊⚋⚊</v>
      </c>
      <c r="M116" t="str">
        <f t="shared" si="13"/>
        <v>𝌤</v>
      </c>
      <c r="N116" t="str">
        <f t="shared" si="13"/>
        <v>𝌤</v>
      </c>
    </row>
    <row r="117" spans="2:14">
      <c r="B117" t="str">
        <f t="shared" si="8"/>
        <v>1D325</v>
      </c>
      <c r="C117" cm="1">
        <f t="array" ref="C117">IF($A117="",IF(ROW()=1,"",INDEX(C:C,ROW()-1)+1),HEX2DEC($A117))</f>
        <v>119589</v>
      </c>
      <c r="D117">
        <v>116</v>
      </c>
      <c r="E117">
        <v>32</v>
      </c>
      <c r="F117" t="str">
        <f t="shared" si="3"/>
        <v>𝌥</v>
      </c>
      <c r="H117" t="s">
        <v>126</v>
      </c>
      <c r="J117" t="str" cm="1">
        <f t="array" ref="J117">_xlfn.LET(
    _xlpm.num, $E117-1,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2122</v>
      </c>
      <c r="K117" t="str" cm="1">
        <f t="array" ref="K117">_xlfn.LET(
    _xlpm.s, TEXT($J117,"0"),
    _xlpm.seq, _xlfn.SEQUENCE(LEN(_xlpm.s)),
    _xlpm.c, MID(_xlpm.s, _xlpm.seq, 1),
    _xlfn.CONCAT(_xlfn.IFS(_xlpm.c="1","7",_xlpm.c="2","8",_xlpm.c="3","9",TRUE,_xlpm.c))
)</f>
        <v>8788</v>
      </c>
      <c r="L117" t="str">
        <f t="shared" si="11"/>
        <v>⚋⚊⚋⚋</v>
      </c>
      <c r="M117" t="str">
        <f t="shared" si="13"/>
        <v>𝌥</v>
      </c>
      <c r="N117" t="str">
        <f t="shared" si="13"/>
        <v>𝌥</v>
      </c>
    </row>
    <row r="118" spans="2:14">
      <c r="B118" t="str">
        <f t="shared" si="8"/>
        <v>1D326</v>
      </c>
      <c r="C118" cm="1">
        <f t="array" ref="C118">IF($A118="",IF(ROW()=1,"",INDEX(C:C,ROW()-1)+1),HEX2DEC($A118))</f>
        <v>119590</v>
      </c>
      <c r="D118">
        <v>117</v>
      </c>
      <c r="E118">
        <v>33</v>
      </c>
      <c r="F118" t="str">
        <f t="shared" si="3"/>
        <v>𝌦</v>
      </c>
      <c r="H118" t="s">
        <v>127</v>
      </c>
      <c r="J118" t="str" cm="1">
        <f t="array" ref="J118">_xlfn.LET(
    _xlpm.num, $E118-1,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2123</v>
      </c>
      <c r="K118" t="str" cm="1">
        <f t="array" ref="K118">_xlfn.LET(
    _xlpm.s, TEXT($J118,"0"),
    _xlpm.seq, _xlfn.SEQUENCE(LEN(_xlpm.s)),
    _xlpm.c, MID(_xlpm.s, _xlpm.seq, 1),
    _xlfn.CONCAT(_xlfn.IFS(_xlpm.c="1","7",_xlpm.c="2","8",_xlpm.c="3","9",TRUE,_xlpm.c))
)</f>
        <v>8789</v>
      </c>
      <c r="L118" t="str">
        <f t="shared" si="11"/>
        <v>⚋⚊⚋𝌀</v>
      </c>
      <c r="M118" t="str">
        <f t="shared" si="13"/>
        <v>𝌦</v>
      </c>
      <c r="N118" t="str">
        <f t="shared" si="13"/>
        <v>𝌦</v>
      </c>
    </row>
    <row r="119" spans="2:14">
      <c r="B119" t="str">
        <f t="shared" si="8"/>
        <v>1D327</v>
      </c>
      <c r="C119" cm="1">
        <f t="array" ref="C119">IF($A119="",IF(ROW()=1,"",INDEX(C:C,ROW()-1)+1),HEX2DEC($A119))</f>
        <v>119591</v>
      </c>
      <c r="D119">
        <v>118</v>
      </c>
      <c r="E119">
        <v>34</v>
      </c>
      <c r="F119" t="str">
        <f t="shared" si="3"/>
        <v>𝌧</v>
      </c>
      <c r="H119" t="s">
        <v>128</v>
      </c>
      <c r="J119" t="str" cm="1">
        <f t="array" ref="J119">_xlfn.LET(
    _xlpm.num, $E119-1,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2131</v>
      </c>
      <c r="K119" t="str" cm="1">
        <f t="array" ref="K119">_xlfn.LET(
    _xlpm.s, TEXT($J119,"0"),
    _xlpm.seq, _xlfn.SEQUENCE(LEN(_xlpm.s)),
    _xlpm.c, MID(_xlpm.s, _xlpm.seq, 1),
    _xlfn.CONCAT(_xlfn.IFS(_xlpm.c="1","7",_xlpm.c="2","8",_xlpm.c="3","9",TRUE,_xlpm.c))
)</f>
        <v>8797</v>
      </c>
      <c r="L119" t="str">
        <f t="shared" si="11"/>
        <v>⚋⚊𝌀⚊</v>
      </c>
      <c r="M119" t="str">
        <f t="shared" si="13"/>
        <v>𝌧</v>
      </c>
      <c r="N119" t="str">
        <f t="shared" si="13"/>
        <v>𝌧</v>
      </c>
    </row>
    <row r="120" spans="2:14">
      <c r="B120" t="str">
        <f t="shared" si="8"/>
        <v>1D328</v>
      </c>
      <c r="C120" cm="1">
        <f t="array" ref="C120">IF($A120="",IF(ROW()=1,"",INDEX(C:C,ROW()-1)+1),HEX2DEC($A120))</f>
        <v>119592</v>
      </c>
      <c r="D120">
        <v>119</v>
      </c>
      <c r="E120">
        <v>35</v>
      </c>
      <c r="F120" t="str">
        <f t="shared" si="3"/>
        <v>𝌨</v>
      </c>
      <c r="H120" t="s">
        <v>129</v>
      </c>
      <c r="J120" t="str" cm="1">
        <f t="array" ref="J120">_xlfn.LET(
    _xlpm.num, $E120-1,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2132</v>
      </c>
      <c r="K120" t="str" cm="1">
        <f t="array" ref="K120">_xlfn.LET(
    _xlpm.s, TEXT($J120,"0"),
    _xlpm.seq, _xlfn.SEQUENCE(LEN(_xlpm.s)),
    _xlpm.c, MID(_xlpm.s, _xlpm.seq, 1),
    _xlfn.CONCAT(_xlfn.IFS(_xlpm.c="1","7",_xlpm.c="2","8",_xlpm.c="3","9",TRUE,_xlpm.c))
)</f>
        <v>8798</v>
      </c>
      <c r="L120" t="str">
        <f t="shared" si="11"/>
        <v>⚋⚊𝌀⚋</v>
      </c>
      <c r="M120" t="str">
        <f t="shared" si="13"/>
        <v>𝌨</v>
      </c>
      <c r="N120" t="str">
        <f t="shared" si="13"/>
        <v>𝌨</v>
      </c>
    </row>
    <row r="121" spans="2:14">
      <c r="B121" t="str">
        <f t="shared" si="8"/>
        <v>1D329</v>
      </c>
      <c r="C121" cm="1">
        <f t="array" ref="C121">IF($A121="",IF(ROW()=1,"",INDEX(C:C,ROW()-1)+1),HEX2DEC($A121))</f>
        <v>119593</v>
      </c>
      <c r="D121">
        <v>120</v>
      </c>
      <c r="E121">
        <v>36</v>
      </c>
      <c r="F121" t="str">
        <f t="shared" si="3"/>
        <v>𝌩</v>
      </c>
      <c r="H121" t="s">
        <v>130</v>
      </c>
      <c r="J121" t="str" cm="1">
        <f t="array" ref="J121">_xlfn.LET(
    _xlpm.num, $E121-1,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2133</v>
      </c>
      <c r="K121" t="str" cm="1">
        <f t="array" ref="K121">_xlfn.LET(
    _xlpm.s, TEXT($J121,"0"),
    _xlpm.seq, _xlfn.SEQUENCE(LEN(_xlpm.s)),
    _xlpm.c, MID(_xlpm.s, _xlpm.seq, 1),
    _xlfn.CONCAT(_xlfn.IFS(_xlpm.c="1","7",_xlpm.c="2","8",_xlpm.c="3","9",TRUE,_xlpm.c))
)</f>
        <v>8799</v>
      </c>
      <c r="L121" t="str">
        <f t="shared" si="11"/>
        <v>⚋⚊𝌀𝌀</v>
      </c>
      <c r="M121" t="str">
        <f t="shared" si="13"/>
        <v>𝌩</v>
      </c>
      <c r="N121" t="str">
        <f t="shared" si="13"/>
        <v>𝌩</v>
      </c>
    </row>
    <row r="122" spans="2:14">
      <c r="B122" t="str">
        <f t="shared" si="8"/>
        <v>1D32A</v>
      </c>
      <c r="C122" cm="1">
        <f t="array" ref="C122">IF($A122="",IF(ROW()=1,"",INDEX(C:C,ROW()-1)+1),HEX2DEC($A122))</f>
        <v>119594</v>
      </c>
      <c r="D122">
        <v>121</v>
      </c>
      <c r="E122">
        <v>37</v>
      </c>
      <c r="F122" t="str">
        <f t="shared" si="3"/>
        <v>𝌪</v>
      </c>
      <c r="H122" t="s">
        <v>131</v>
      </c>
      <c r="J122" t="str" cm="1">
        <f t="array" ref="J122">_xlfn.LET(
    _xlpm.num, $E122-1,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2211</v>
      </c>
      <c r="K122" t="str" cm="1">
        <f t="array" ref="K122">_xlfn.LET(
    _xlpm.s, TEXT($J122,"0"),
    _xlpm.seq, _xlfn.SEQUENCE(LEN(_xlpm.s)),
    _xlpm.c, MID(_xlpm.s, _xlpm.seq, 1),
    _xlfn.CONCAT(_xlfn.IFS(_xlpm.c="1","7",_xlpm.c="2","8",_xlpm.c="3","9",TRUE,_xlpm.c))
)</f>
        <v>8877</v>
      </c>
      <c r="L122" t="str">
        <f t="shared" si="11"/>
        <v>⚋⚋⚊⚊</v>
      </c>
      <c r="M122" t="str">
        <f t="shared" si="13"/>
        <v>𝌪</v>
      </c>
      <c r="N122" t="str">
        <f t="shared" si="13"/>
        <v>𝌪</v>
      </c>
    </row>
    <row r="123" spans="2:14">
      <c r="B123" t="str">
        <f t="shared" si="8"/>
        <v>1D32B</v>
      </c>
      <c r="C123" cm="1">
        <f t="array" ref="C123">IF($A123="",IF(ROW()=1,"",INDEX(C:C,ROW()-1)+1),HEX2DEC($A123))</f>
        <v>119595</v>
      </c>
      <c r="D123">
        <v>122</v>
      </c>
      <c r="E123">
        <v>38</v>
      </c>
      <c r="F123" t="str">
        <f t="shared" si="3"/>
        <v>𝌫</v>
      </c>
      <c r="H123" t="s">
        <v>132</v>
      </c>
      <c r="J123" t="str" cm="1">
        <f t="array" ref="J123">_xlfn.LET(
    _xlpm.num, $E123-1,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2212</v>
      </c>
      <c r="K123" t="str" cm="1">
        <f t="array" ref="K123">_xlfn.LET(
    _xlpm.s, TEXT($J123,"0"),
    _xlpm.seq, _xlfn.SEQUENCE(LEN(_xlpm.s)),
    _xlpm.c, MID(_xlpm.s, _xlpm.seq, 1),
    _xlfn.CONCAT(_xlfn.IFS(_xlpm.c="1","7",_xlpm.c="2","8",_xlpm.c="3","9",TRUE,_xlpm.c))
)</f>
        <v>8878</v>
      </c>
      <c r="L123" t="str">
        <f t="shared" si="11"/>
        <v>⚋⚋⚊⚋</v>
      </c>
      <c r="M123" t="str">
        <f t="shared" si="13"/>
        <v>𝌫</v>
      </c>
      <c r="N123" t="str">
        <f t="shared" si="13"/>
        <v>𝌫</v>
      </c>
    </row>
    <row r="124" spans="2:14">
      <c r="B124" t="str">
        <f t="shared" si="8"/>
        <v>1D32C</v>
      </c>
      <c r="C124" cm="1">
        <f t="array" ref="C124">IF($A124="",IF(ROW()=1,"",INDEX(C:C,ROW()-1)+1),HEX2DEC($A124))</f>
        <v>119596</v>
      </c>
      <c r="D124">
        <v>123</v>
      </c>
      <c r="E124">
        <v>39</v>
      </c>
      <c r="F124" t="str">
        <f t="shared" si="3"/>
        <v>𝌬</v>
      </c>
      <c r="H124" t="s">
        <v>133</v>
      </c>
      <c r="J124" t="str" cm="1">
        <f t="array" ref="J124">_xlfn.LET(
    _xlpm.num, $E124-1,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2213</v>
      </c>
      <c r="K124" t="str" cm="1">
        <f t="array" ref="K124">_xlfn.LET(
    _xlpm.s, TEXT($J124,"0"),
    _xlpm.seq, _xlfn.SEQUENCE(LEN(_xlpm.s)),
    _xlpm.c, MID(_xlpm.s, _xlpm.seq, 1),
    _xlfn.CONCAT(_xlfn.IFS(_xlpm.c="1","7",_xlpm.c="2","8",_xlpm.c="3","9",TRUE,_xlpm.c))
)</f>
        <v>8879</v>
      </c>
      <c r="L124" t="str">
        <f t="shared" si="11"/>
        <v>⚋⚋⚊𝌀</v>
      </c>
      <c r="M124" t="str">
        <f t="shared" si="13"/>
        <v>𝌬</v>
      </c>
      <c r="N124" t="str">
        <f t="shared" si="13"/>
        <v>𝌬</v>
      </c>
    </row>
    <row r="125" spans="2:14">
      <c r="B125" t="str">
        <f t="shared" si="8"/>
        <v>1D32D</v>
      </c>
      <c r="C125" cm="1">
        <f t="array" ref="C125">IF($A125="",IF(ROW()=1,"",INDEX(C:C,ROW()-1)+1),HEX2DEC($A125))</f>
        <v>119597</v>
      </c>
      <c r="D125">
        <v>124</v>
      </c>
      <c r="E125">
        <v>40</v>
      </c>
      <c r="F125" t="str">
        <f t="shared" si="3"/>
        <v>𝌭</v>
      </c>
      <c r="H125" t="s">
        <v>134</v>
      </c>
      <c r="J125" t="str" cm="1">
        <f t="array" ref="J125">_xlfn.LET(
    _xlpm.num, $E125-1,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2221</v>
      </c>
      <c r="K125" t="str" cm="1">
        <f t="array" ref="K125">_xlfn.LET(
    _xlpm.s, TEXT($J125,"0"),
    _xlpm.seq, _xlfn.SEQUENCE(LEN(_xlpm.s)),
    _xlpm.c, MID(_xlpm.s, _xlpm.seq, 1),
    _xlfn.CONCAT(_xlfn.IFS(_xlpm.c="1","7",_xlpm.c="2","8",_xlpm.c="3","9",TRUE,_xlpm.c))
)</f>
        <v>8887</v>
      </c>
      <c r="L125" t="str">
        <f t="shared" si="11"/>
        <v>⚋⚋⚋⚊</v>
      </c>
      <c r="M125" t="str">
        <f t="shared" si="13"/>
        <v>𝌭</v>
      </c>
      <c r="N125" t="str">
        <f t="shared" si="13"/>
        <v>𝌭</v>
      </c>
    </row>
    <row r="126" spans="2:14">
      <c r="B126" t="str">
        <f t="shared" si="8"/>
        <v>1D32E</v>
      </c>
      <c r="C126" cm="1">
        <f t="array" ref="C126">IF($A126="",IF(ROW()=1,"",INDEX(C:C,ROW()-1)+1),HEX2DEC($A126))</f>
        <v>119598</v>
      </c>
      <c r="D126">
        <v>125</v>
      </c>
      <c r="E126">
        <v>41</v>
      </c>
      <c r="F126" t="str">
        <f t="shared" si="3"/>
        <v>𝌮</v>
      </c>
      <c r="H126" t="s">
        <v>176</v>
      </c>
      <c r="J126" t="str" cm="1">
        <f t="array" ref="J126">_xlfn.LET(
    _xlpm.num, $E126-1,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2222</v>
      </c>
      <c r="K126" t="str" cm="1">
        <f t="array" ref="K126">_xlfn.LET(
    _xlpm.s, TEXT($J126,"0"),
    _xlpm.seq, _xlfn.SEQUENCE(LEN(_xlpm.s)),
    _xlpm.c, MID(_xlpm.s, _xlpm.seq, 1),
    _xlfn.CONCAT(_xlfn.IFS(_xlpm.c="1","7",_xlpm.c="2","8",_xlpm.c="3","9",TRUE,_xlpm.c))
)</f>
        <v>8888</v>
      </c>
      <c r="L126" t="str">
        <f t="shared" si="11"/>
        <v>⚋⚋⚋⚋</v>
      </c>
      <c r="M126" t="str">
        <f t="shared" si="13"/>
        <v>𝌮</v>
      </c>
      <c r="N126" t="str">
        <f t="shared" si="13"/>
        <v>𝌮</v>
      </c>
    </row>
    <row r="127" spans="2:14">
      <c r="B127" t="str">
        <f t="shared" si="8"/>
        <v>1D32F</v>
      </c>
      <c r="C127" cm="1">
        <f t="array" ref="C127">IF($A127="",IF(ROW()=1,"",INDEX(C:C,ROW()-1)+1),HEX2DEC($A127))</f>
        <v>119599</v>
      </c>
      <c r="D127">
        <v>126</v>
      </c>
      <c r="E127">
        <v>42</v>
      </c>
      <c r="F127" t="str">
        <f t="shared" si="3"/>
        <v>𝌯</v>
      </c>
      <c r="H127" t="s">
        <v>135</v>
      </c>
      <c r="J127" t="str" cm="1">
        <f t="array" ref="J127">_xlfn.LET(
    _xlpm.num, $E127-1,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2223</v>
      </c>
      <c r="K127" t="str" cm="1">
        <f t="array" ref="K127">_xlfn.LET(
    _xlpm.s, TEXT($J127,"0"),
    _xlpm.seq, _xlfn.SEQUENCE(LEN(_xlpm.s)),
    _xlpm.c, MID(_xlpm.s, _xlpm.seq, 1),
    _xlfn.CONCAT(_xlfn.IFS(_xlpm.c="1","7",_xlpm.c="2","8",_xlpm.c="3","9",TRUE,_xlpm.c))
)</f>
        <v>8889</v>
      </c>
      <c r="L127" t="str">
        <f t="shared" si="11"/>
        <v>⚋⚋⚋𝌀</v>
      </c>
      <c r="M127" t="str">
        <f t="shared" si="13"/>
        <v>𝌯</v>
      </c>
      <c r="N127" t="str">
        <f t="shared" si="13"/>
        <v>𝌯</v>
      </c>
    </row>
    <row r="128" spans="2:14">
      <c r="B128" t="str">
        <f t="shared" si="8"/>
        <v>1D330</v>
      </c>
      <c r="C128" cm="1">
        <f t="array" ref="C128">IF($A128="",IF(ROW()=1,"",INDEX(C:C,ROW()-1)+1),HEX2DEC($A128))</f>
        <v>119600</v>
      </c>
      <c r="D128">
        <v>127</v>
      </c>
      <c r="E128">
        <v>43</v>
      </c>
      <c r="F128" t="str">
        <f t="shared" si="3"/>
        <v>𝌰</v>
      </c>
      <c r="H128" t="s">
        <v>136</v>
      </c>
      <c r="J128" t="str" cm="1">
        <f t="array" ref="J128">_xlfn.LET(
    _xlpm.num, $E128-1,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2231</v>
      </c>
      <c r="K128" t="str" cm="1">
        <f t="array" ref="K128">_xlfn.LET(
    _xlpm.s, TEXT($J128,"0"),
    _xlpm.seq, _xlfn.SEQUENCE(LEN(_xlpm.s)),
    _xlpm.c, MID(_xlpm.s, _xlpm.seq, 1),
    _xlfn.CONCAT(_xlfn.IFS(_xlpm.c="1","7",_xlpm.c="2","8",_xlpm.c="3","9",TRUE,_xlpm.c))
)</f>
        <v>8897</v>
      </c>
      <c r="L128" t="str">
        <f t="shared" si="11"/>
        <v>⚋⚋𝌀⚊</v>
      </c>
      <c r="M128" t="str">
        <f t="shared" si="13"/>
        <v>𝌰</v>
      </c>
      <c r="N128" t="str">
        <f t="shared" si="13"/>
        <v>𝌰</v>
      </c>
    </row>
    <row r="129" spans="2:14">
      <c r="B129" t="str">
        <f t="shared" si="8"/>
        <v>1D331</v>
      </c>
      <c r="C129" cm="1">
        <f t="array" ref="C129">IF($A129="",IF(ROW()=1,"",INDEX(C:C,ROW()-1)+1),HEX2DEC($A129))</f>
        <v>119601</v>
      </c>
      <c r="D129">
        <v>128</v>
      </c>
      <c r="E129">
        <v>44</v>
      </c>
      <c r="F129" t="str">
        <f t="shared" si="3"/>
        <v>𝌱</v>
      </c>
      <c r="H129" t="s">
        <v>137</v>
      </c>
      <c r="J129" t="str" cm="1">
        <f t="array" ref="J129">_xlfn.LET(
    _xlpm.num, $E129-1,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2232</v>
      </c>
      <c r="K129" t="str" cm="1">
        <f t="array" ref="K129">_xlfn.LET(
    _xlpm.s, TEXT($J129,"0"),
    _xlpm.seq, _xlfn.SEQUENCE(LEN(_xlpm.s)),
    _xlpm.c, MID(_xlpm.s, _xlpm.seq, 1),
    _xlfn.CONCAT(_xlfn.IFS(_xlpm.c="1","7",_xlpm.c="2","8",_xlpm.c="3","9",TRUE,_xlpm.c))
)</f>
        <v>8898</v>
      </c>
      <c r="L129" t="str">
        <f t="shared" si="11"/>
        <v>⚋⚋𝌀⚋</v>
      </c>
      <c r="M129" t="str">
        <f t="shared" si="13"/>
        <v>𝌱</v>
      </c>
      <c r="N129" t="str">
        <f t="shared" si="13"/>
        <v>𝌱</v>
      </c>
    </row>
    <row r="130" spans="2:14">
      <c r="B130" t="str">
        <f t="shared" si="8"/>
        <v>1D332</v>
      </c>
      <c r="C130" cm="1">
        <f t="array" ref="C130">IF($A130="",IF(ROW()=1,"",INDEX(C:C,ROW()-1)+1),HEX2DEC($A130))</f>
        <v>119602</v>
      </c>
      <c r="D130">
        <v>129</v>
      </c>
      <c r="E130">
        <v>45</v>
      </c>
      <c r="F130" t="str">
        <f t="shared" si="3"/>
        <v>𝌲</v>
      </c>
      <c r="H130" t="s">
        <v>138</v>
      </c>
      <c r="J130" t="str" cm="1">
        <f t="array" ref="J130">_xlfn.LET(
    _xlpm.num, $E130-1,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2233</v>
      </c>
      <c r="K130" t="str" cm="1">
        <f t="array" ref="K130">_xlfn.LET(
    _xlpm.s, TEXT($J130,"0"),
    _xlpm.seq, _xlfn.SEQUENCE(LEN(_xlpm.s)),
    _xlpm.c, MID(_xlpm.s, _xlpm.seq, 1),
    _xlfn.CONCAT(_xlfn.IFS(_xlpm.c="1","7",_xlpm.c="2","8",_xlpm.c="3","9",TRUE,_xlpm.c))
)</f>
        <v>8899</v>
      </c>
      <c r="L130" t="str">
        <f t="shared" si="11"/>
        <v>⚋⚋𝌀𝌀</v>
      </c>
      <c r="M130" t="str">
        <f t="shared" ref="M130:N145" si="14">_xlfn.UNICHAR($C130)</f>
        <v>𝌲</v>
      </c>
      <c r="N130" t="str">
        <f t="shared" si="14"/>
        <v>𝌲</v>
      </c>
    </row>
    <row r="131" spans="2:14">
      <c r="B131" t="str">
        <f t="shared" ref="B131:B166" si="15">DEC2HEX($C131)</f>
        <v>1D333</v>
      </c>
      <c r="C131" cm="1">
        <f t="array" ref="C131">IF($A131="",IF(ROW()=1,"",INDEX(C:C,ROW()-1)+1),HEX2DEC($A131))</f>
        <v>119603</v>
      </c>
      <c r="D131">
        <v>130</v>
      </c>
      <c r="E131">
        <v>46</v>
      </c>
      <c r="F131" t="str">
        <f t="shared" si="3"/>
        <v>𝌳</v>
      </c>
      <c r="H131" t="s">
        <v>139</v>
      </c>
      <c r="J131" t="str" cm="1">
        <f t="array" ref="J131">_xlfn.LET(
    _xlpm.num, $E131-1,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2311</v>
      </c>
      <c r="K131" t="str" cm="1">
        <f t="array" ref="K131">_xlfn.LET(
    _xlpm.s, TEXT($J131,"0"),
    _xlpm.seq, _xlfn.SEQUENCE(LEN(_xlpm.s)),
    _xlpm.c, MID(_xlpm.s, _xlpm.seq, 1),
    _xlfn.CONCAT(_xlfn.IFS(_xlpm.c="1","7",_xlpm.c="2","8",_xlpm.c="3","9",TRUE,_xlpm.c))
)</f>
        <v>8977</v>
      </c>
      <c r="L131" t="str">
        <f t="shared" si="11"/>
        <v>⚋𝌀⚊⚊</v>
      </c>
      <c r="M131" t="str">
        <f t="shared" si="14"/>
        <v>𝌳</v>
      </c>
      <c r="N131" t="str">
        <f t="shared" si="14"/>
        <v>𝌳</v>
      </c>
    </row>
    <row r="132" spans="2:14">
      <c r="B132" t="str">
        <f t="shared" si="15"/>
        <v>1D334</v>
      </c>
      <c r="C132" cm="1">
        <f t="array" ref="C132">IF($A132="",IF(ROW()=1,"",INDEX(C:C,ROW()-1)+1),HEX2DEC($A132))</f>
        <v>119604</v>
      </c>
      <c r="D132">
        <v>131</v>
      </c>
      <c r="E132">
        <v>47</v>
      </c>
      <c r="F132" t="str">
        <f t="shared" si="3"/>
        <v>𝌴</v>
      </c>
      <c r="H132" t="s">
        <v>140</v>
      </c>
      <c r="J132" t="str" cm="1">
        <f t="array" ref="J132">_xlfn.LET(
    _xlpm.num, $E132-1,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2312</v>
      </c>
      <c r="K132" t="str" cm="1">
        <f t="array" ref="K132">_xlfn.LET(
    _xlpm.s, TEXT($J132,"0"),
    _xlpm.seq, _xlfn.SEQUENCE(LEN(_xlpm.s)),
    _xlpm.c, MID(_xlpm.s, _xlpm.seq, 1),
    _xlfn.CONCAT(_xlfn.IFS(_xlpm.c="1","7",_xlpm.c="2","8",_xlpm.c="3","9",TRUE,_xlpm.c))
)</f>
        <v>8978</v>
      </c>
      <c r="L132" t="str">
        <f t="shared" si="11"/>
        <v>⚋𝌀⚊⚋</v>
      </c>
      <c r="M132" t="str">
        <f t="shared" si="14"/>
        <v>𝌴</v>
      </c>
      <c r="N132" t="str">
        <f t="shared" si="14"/>
        <v>𝌴</v>
      </c>
    </row>
    <row r="133" spans="2:14">
      <c r="B133" t="str">
        <f t="shared" si="15"/>
        <v>1D335</v>
      </c>
      <c r="C133" cm="1">
        <f t="array" ref="C133">IF($A133="",IF(ROW()=1,"",INDEX(C:C,ROW()-1)+1),HEX2DEC($A133))</f>
        <v>119605</v>
      </c>
      <c r="D133">
        <v>132</v>
      </c>
      <c r="E133">
        <v>48</v>
      </c>
      <c r="F133" t="str">
        <f t="shared" si="3"/>
        <v>𝌵</v>
      </c>
      <c r="H133" t="s">
        <v>141</v>
      </c>
      <c r="J133" t="str" cm="1">
        <f t="array" ref="J133">_xlfn.LET(
    _xlpm.num, $E133-1,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2313</v>
      </c>
      <c r="K133" t="str" cm="1">
        <f t="array" ref="K133">_xlfn.LET(
    _xlpm.s, TEXT($J133,"0"),
    _xlpm.seq, _xlfn.SEQUENCE(LEN(_xlpm.s)),
    _xlpm.c, MID(_xlpm.s, _xlpm.seq, 1),
    _xlfn.CONCAT(_xlfn.IFS(_xlpm.c="1","7",_xlpm.c="2","8",_xlpm.c="3","9",TRUE,_xlpm.c))
)</f>
        <v>8979</v>
      </c>
      <c r="L133" t="str">
        <f t="shared" si="11"/>
        <v>⚋𝌀⚊𝌀</v>
      </c>
      <c r="M133" t="str">
        <f t="shared" si="14"/>
        <v>𝌵</v>
      </c>
      <c r="N133" t="str">
        <f t="shared" si="14"/>
        <v>𝌵</v>
      </c>
    </row>
    <row r="134" spans="2:14">
      <c r="B134" t="str">
        <f t="shared" si="15"/>
        <v>1D336</v>
      </c>
      <c r="C134" cm="1">
        <f t="array" ref="C134">IF($A134="",IF(ROW()=1,"",INDEX(C:C,ROW()-1)+1),HEX2DEC($A134))</f>
        <v>119606</v>
      </c>
      <c r="D134">
        <v>133</v>
      </c>
      <c r="E134">
        <v>49</v>
      </c>
      <c r="F134" t="str">
        <f t="shared" si="3"/>
        <v>𝌶</v>
      </c>
      <c r="H134" t="s">
        <v>142</v>
      </c>
      <c r="J134" t="str" cm="1">
        <f t="array" ref="J134">_xlfn.LET(
    _xlpm.num, $E134-1,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2321</v>
      </c>
      <c r="K134" t="str" cm="1">
        <f t="array" ref="K134">_xlfn.LET(
    _xlpm.s, TEXT($J134,"0"),
    _xlpm.seq, _xlfn.SEQUENCE(LEN(_xlpm.s)),
    _xlpm.c, MID(_xlpm.s, _xlpm.seq, 1),
    _xlfn.CONCAT(_xlfn.IFS(_xlpm.c="1","7",_xlpm.c="2","8",_xlpm.c="3","9",TRUE,_xlpm.c))
)</f>
        <v>8987</v>
      </c>
      <c r="L134" t="str">
        <f t="shared" si="11"/>
        <v>⚋𝌀⚋⚊</v>
      </c>
      <c r="M134" t="str">
        <f t="shared" si="14"/>
        <v>𝌶</v>
      </c>
      <c r="N134" t="str">
        <f t="shared" si="14"/>
        <v>𝌶</v>
      </c>
    </row>
    <row r="135" spans="2:14">
      <c r="B135" t="str">
        <f t="shared" si="15"/>
        <v>1D337</v>
      </c>
      <c r="C135" cm="1">
        <f t="array" ref="C135">IF($A135="",IF(ROW()=1,"",INDEX(C:C,ROW()-1)+1),HEX2DEC($A135))</f>
        <v>119607</v>
      </c>
      <c r="D135">
        <v>134</v>
      </c>
      <c r="E135">
        <v>50</v>
      </c>
      <c r="F135" t="str">
        <f t="shared" si="3"/>
        <v>𝌷</v>
      </c>
      <c r="H135" t="s">
        <v>143</v>
      </c>
      <c r="J135" t="str" cm="1">
        <f t="array" ref="J135">_xlfn.LET(
    _xlpm.num, $E135-1,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2322</v>
      </c>
      <c r="K135" t="str" cm="1">
        <f t="array" ref="K135">_xlfn.LET(
    _xlpm.s, TEXT($J135,"0"),
    _xlpm.seq, _xlfn.SEQUENCE(LEN(_xlpm.s)),
    _xlpm.c, MID(_xlpm.s, _xlpm.seq, 1),
    _xlfn.CONCAT(_xlfn.IFS(_xlpm.c="1","7",_xlpm.c="2","8",_xlpm.c="3","9",TRUE,_xlpm.c))
)</f>
        <v>8988</v>
      </c>
      <c r="L135" t="str">
        <f t="shared" si="11"/>
        <v>⚋𝌀⚋⚋</v>
      </c>
      <c r="M135" t="str">
        <f t="shared" si="14"/>
        <v>𝌷</v>
      </c>
      <c r="N135" t="str">
        <f t="shared" si="14"/>
        <v>𝌷</v>
      </c>
    </row>
    <row r="136" spans="2:14">
      <c r="B136" t="str">
        <f t="shared" si="15"/>
        <v>1D338</v>
      </c>
      <c r="C136" cm="1">
        <f t="array" ref="C136">IF($A136="",IF(ROW()=1,"",INDEX(C:C,ROW()-1)+1),HEX2DEC($A136))</f>
        <v>119608</v>
      </c>
      <c r="D136">
        <v>135</v>
      </c>
      <c r="E136">
        <v>51</v>
      </c>
      <c r="F136" t="str">
        <f t="shared" si="3"/>
        <v>𝌸</v>
      </c>
      <c r="H136" t="s">
        <v>144</v>
      </c>
      <c r="J136" t="str" cm="1">
        <f t="array" ref="J136">_xlfn.LET(
    _xlpm.num, $E136-1,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2323</v>
      </c>
      <c r="K136" t="str" cm="1">
        <f t="array" ref="K136">_xlfn.LET(
    _xlpm.s, TEXT($J136,"0"),
    _xlpm.seq, _xlfn.SEQUENCE(LEN(_xlpm.s)),
    _xlpm.c, MID(_xlpm.s, _xlpm.seq, 1),
    _xlfn.CONCAT(_xlfn.IFS(_xlpm.c="1","7",_xlpm.c="2","8",_xlpm.c="3","9",TRUE,_xlpm.c))
)</f>
        <v>8989</v>
      </c>
      <c r="L136" t="str">
        <f t="shared" si="11"/>
        <v>⚋𝌀⚋𝌀</v>
      </c>
      <c r="M136" t="str">
        <f t="shared" si="14"/>
        <v>𝌸</v>
      </c>
      <c r="N136" t="str">
        <f t="shared" si="14"/>
        <v>𝌸</v>
      </c>
    </row>
    <row r="137" spans="2:14">
      <c r="B137" t="str">
        <f t="shared" si="15"/>
        <v>1D339</v>
      </c>
      <c r="C137" cm="1">
        <f t="array" ref="C137">IF($A137="",IF(ROW()=1,"",INDEX(C:C,ROW()-1)+1),HEX2DEC($A137))</f>
        <v>119609</v>
      </c>
      <c r="D137">
        <v>136</v>
      </c>
      <c r="E137">
        <v>52</v>
      </c>
      <c r="F137" t="str">
        <f t="shared" si="3"/>
        <v>𝌹</v>
      </c>
      <c r="H137" t="s">
        <v>145</v>
      </c>
      <c r="J137" t="str" cm="1">
        <f t="array" ref="J137">_xlfn.LET(
    _xlpm.num, $E137-1,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2331</v>
      </c>
      <c r="K137" t="str" cm="1">
        <f t="array" ref="K137">_xlfn.LET(
    _xlpm.s, TEXT($J137,"0"),
    _xlpm.seq, _xlfn.SEQUENCE(LEN(_xlpm.s)),
    _xlpm.c, MID(_xlpm.s, _xlpm.seq, 1),
    _xlfn.CONCAT(_xlfn.IFS(_xlpm.c="1","7",_xlpm.c="2","8",_xlpm.c="3","9",TRUE,_xlpm.c))
)</f>
        <v>8997</v>
      </c>
      <c r="L137" t="str">
        <f t="shared" si="11"/>
        <v>⚋𝌀𝌀⚊</v>
      </c>
      <c r="M137" t="str">
        <f t="shared" si="14"/>
        <v>𝌹</v>
      </c>
      <c r="N137" t="str">
        <f t="shared" si="14"/>
        <v>𝌹</v>
      </c>
    </row>
    <row r="138" spans="2:14">
      <c r="B138" t="str">
        <f t="shared" si="15"/>
        <v>1D33A</v>
      </c>
      <c r="C138" cm="1">
        <f t="array" ref="C138">IF($A138="",IF(ROW()=1,"",INDEX(C:C,ROW()-1)+1),HEX2DEC($A138))</f>
        <v>119610</v>
      </c>
      <c r="D138">
        <v>137</v>
      </c>
      <c r="E138">
        <v>53</v>
      </c>
      <c r="F138" t="str">
        <f t="shared" si="3"/>
        <v>𝌺</v>
      </c>
      <c r="H138" t="s">
        <v>146</v>
      </c>
      <c r="J138" t="str" cm="1">
        <f t="array" ref="J138">_xlfn.LET(
    _xlpm.num, $E138-1,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2332</v>
      </c>
      <c r="K138" t="str" cm="1">
        <f t="array" ref="K138">_xlfn.LET(
    _xlpm.s, TEXT($J138,"0"),
    _xlpm.seq, _xlfn.SEQUENCE(LEN(_xlpm.s)),
    _xlpm.c, MID(_xlpm.s, _xlpm.seq, 1),
    _xlfn.CONCAT(_xlfn.IFS(_xlpm.c="1","7",_xlpm.c="2","8",_xlpm.c="3","9",TRUE,_xlpm.c))
)</f>
        <v>8998</v>
      </c>
      <c r="L138" t="str">
        <f t="shared" si="11"/>
        <v>⚋𝌀𝌀⚋</v>
      </c>
      <c r="M138" t="str">
        <f t="shared" si="14"/>
        <v>𝌺</v>
      </c>
      <c r="N138" t="str">
        <f t="shared" si="14"/>
        <v>𝌺</v>
      </c>
    </row>
    <row r="139" spans="2:14">
      <c r="B139" t="str">
        <f t="shared" si="15"/>
        <v>1D33B</v>
      </c>
      <c r="C139" cm="1">
        <f t="array" ref="C139">IF($A139="",IF(ROW()=1,"",INDEX(C:C,ROW()-1)+1),HEX2DEC($A139))</f>
        <v>119611</v>
      </c>
      <c r="D139">
        <v>138</v>
      </c>
      <c r="E139">
        <v>54</v>
      </c>
      <c r="F139" t="str">
        <f t="shared" si="3"/>
        <v>𝌻</v>
      </c>
      <c r="H139" t="s">
        <v>147</v>
      </c>
      <c r="J139" t="str" cm="1">
        <f t="array" ref="J139">_xlfn.LET(
    _xlpm.num, $E139-1,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2333</v>
      </c>
      <c r="K139" t="str" cm="1">
        <f t="array" ref="K139">_xlfn.LET(
    _xlpm.s, TEXT($J139,"0"),
    _xlpm.seq, _xlfn.SEQUENCE(LEN(_xlpm.s)),
    _xlpm.c, MID(_xlpm.s, _xlpm.seq, 1),
    _xlfn.CONCAT(_xlfn.IFS(_xlpm.c="1","7",_xlpm.c="2","8",_xlpm.c="3","9",TRUE,_xlpm.c))
)</f>
        <v>8999</v>
      </c>
      <c r="L139" t="str">
        <f t="shared" si="11"/>
        <v>⚋𝌀𝌀𝌀</v>
      </c>
      <c r="M139" t="str">
        <f t="shared" si="14"/>
        <v>𝌻</v>
      </c>
      <c r="N139" t="str">
        <f t="shared" si="14"/>
        <v>𝌻</v>
      </c>
    </row>
    <row r="140" spans="2:14">
      <c r="B140" t="str">
        <f t="shared" si="15"/>
        <v>1D33C</v>
      </c>
      <c r="C140" cm="1">
        <f t="array" ref="C140">IF($A140="",IF(ROW()=1,"",INDEX(C:C,ROW()-1)+1),HEX2DEC($A140))</f>
        <v>119612</v>
      </c>
      <c r="D140">
        <v>139</v>
      </c>
      <c r="E140">
        <v>55</v>
      </c>
      <c r="F140" t="str">
        <f t="shared" si="3"/>
        <v>𝌼</v>
      </c>
      <c r="H140" t="s">
        <v>148</v>
      </c>
      <c r="J140" t="str" cm="1">
        <f t="array" ref="J140">_xlfn.LET(
    _xlpm.num, $E140-1,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3111</v>
      </c>
      <c r="K140" t="str" cm="1">
        <f t="array" ref="K140">_xlfn.LET(
    _xlpm.s, TEXT($J140,"0"),
    _xlpm.seq, _xlfn.SEQUENCE(LEN(_xlpm.s)),
    _xlpm.c, MID(_xlpm.s, _xlpm.seq, 1),
    _xlfn.CONCAT(_xlfn.IFS(_xlpm.c="1","7",_xlpm.c="2","8",_xlpm.c="3","9",TRUE,_xlpm.c))
)</f>
        <v>9777</v>
      </c>
      <c r="L140" t="str">
        <f t="shared" si="11"/>
        <v>𝌀⚊⚊⚊</v>
      </c>
      <c r="M140" t="str">
        <f t="shared" si="14"/>
        <v>𝌼</v>
      </c>
      <c r="N140" t="str">
        <f t="shared" si="14"/>
        <v>𝌼</v>
      </c>
    </row>
    <row r="141" spans="2:14">
      <c r="B141" t="str">
        <f t="shared" si="15"/>
        <v>1D33D</v>
      </c>
      <c r="C141" cm="1">
        <f t="array" ref="C141">IF($A141="",IF(ROW()=1,"",INDEX(C:C,ROW()-1)+1),HEX2DEC($A141))</f>
        <v>119613</v>
      </c>
      <c r="D141">
        <v>140</v>
      </c>
      <c r="E141">
        <v>56</v>
      </c>
      <c r="F141" t="str">
        <f t="shared" si="3"/>
        <v>𝌽</v>
      </c>
      <c r="H141" t="s">
        <v>149</v>
      </c>
      <c r="J141" t="str" cm="1">
        <f t="array" ref="J141">_xlfn.LET(
    _xlpm.num, $E141-1,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3112</v>
      </c>
      <c r="K141" t="str" cm="1">
        <f t="array" ref="K141">_xlfn.LET(
    _xlpm.s, TEXT($J141,"0"),
    _xlpm.seq, _xlfn.SEQUENCE(LEN(_xlpm.s)),
    _xlpm.c, MID(_xlpm.s, _xlpm.seq, 1),
    _xlfn.CONCAT(_xlfn.IFS(_xlpm.c="1","7",_xlpm.c="2","8",_xlpm.c="3","9",TRUE,_xlpm.c))
)</f>
        <v>9778</v>
      </c>
      <c r="L141" t="str">
        <f t="shared" si="11"/>
        <v>𝌀⚊⚊⚋</v>
      </c>
      <c r="M141" t="str">
        <f t="shared" si="14"/>
        <v>𝌽</v>
      </c>
      <c r="N141" t="str">
        <f t="shared" si="14"/>
        <v>𝌽</v>
      </c>
    </row>
    <row r="142" spans="2:14">
      <c r="B142" t="str">
        <f t="shared" si="15"/>
        <v>1D33E</v>
      </c>
      <c r="C142" cm="1">
        <f t="array" ref="C142">IF($A142="",IF(ROW()=1,"",INDEX(C:C,ROW()-1)+1),HEX2DEC($A142))</f>
        <v>119614</v>
      </c>
      <c r="D142">
        <v>141</v>
      </c>
      <c r="E142">
        <v>57</v>
      </c>
      <c r="F142" t="str">
        <f t="shared" si="3"/>
        <v>𝌾</v>
      </c>
      <c r="H142" t="s">
        <v>150</v>
      </c>
      <c r="J142" t="str" cm="1">
        <f t="array" ref="J142">_xlfn.LET(
    _xlpm.num, $E142-1,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3113</v>
      </c>
      <c r="K142" t="str" cm="1">
        <f t="array" ref="K142">_xlfn.LET(
    _xlpm.s, TEXT($J142,"0"),
    _xlpm.seq, _xlfn.SEQUENCE(LEN(_xlpm.s)),
    _xlpm.c, MID(_xlpm.s, _xlpm.seq, 1),
    _xlfn.CONCAT(_xlfn.IFS(_xlpm.c="1","7",_xlpm.c="2","8",_xlpm.c="3","9",TRUE,_xlpm.c))
)</f>
        <v>9779</v>
      </c>
      <c r="L142" t="str">
        <f t="shared" si="11"/>
        <v>𝌀⚊⚊𝌀</v>
      </c>
      <c r="M142" t="str">
        <f t="shared" si="14"/>
        <v>𝌾</v>
      </c>
      <c r="N142" t="str">
        <f t="shared" si="14"/>
        <v>𝌾</v>
      </c>
    </row>
    <row r="143" spans="2:14">
      <c r="B143" t="str">
        <f t="shared" si="15"/>
        <v>1D33F</v>
      </c>
      <c r="C143" cm="1">
        <f t="array" ref="C143">IF($A143="",IF(ROW()=1,"",INDEX(C:C,ROW()-1)+1),HEX2DEC($A143))</f>
        <v>119615</v>
      </c>
      <c r="D143">
        <v>142</v>
      </c>
      <c r="E143">
        <v>58</v>
      </c>
      <c r="F143" t="str">
        <f t="shared" si="3"/>
        <v>𝌿</v>
      </c>
      <c r="H143" t="s">
        <v>151</v>
      </c>
      <c r="J143" t="str" cm="1">
        <f t="array" ref="J143">_xlfn.LET(
    _xlpm.num, $E143-1,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3121</v>
      </c>
      <c r="K143" t="str" cm="1">
        <f t="array" ref="K143">_xlfn.LET(
    _xlpm.s, TEXT($J143,"0"),
    _xlpm.seq, _xlfn.SEQUENCE(LEN(_xlpm.s)),
    _xlpm.c, MID(_xlpm.s, _xlpm.seq, 1),
    _xlfn.CONCAT(_xlfn.IFS(_xlpm.c="1","7",_xlpm.c="2","8",_xlpm.c="3","9",TRUE,_xlpm.c))
)</f>
        <v>9787</v>
      </c>
      <c r="L143" t="str">
        <f t="shared" si="11"/>
        <v>𝌀⚊⚋⚊</v>
      </c>
      <c r="M143" t="str">
        <f t="shared" si="14"/>
        <v>𝌿</v>
      </c>
      <c r="N143" t="str">
        <f t="shared" si="14"/>
        <v>𝌿</v>
      </c>
    </row>
    <row r="144" spans="2:14">
      <c r="B144" t="str">
        <f t="shared" si="15"/>
        <v>1D340</v>
      </c>
      <c r="C144" cm="1">
        <f t="array" ref="C144">IF($A144="",IF(ROW()=1,"",INDEX(C:C,ROW()-1)+1),HEX2DEC($A144))</f>
        <v>119616</v>
      </c>
      <c r="D144">
        <v>143</v>
      </c>
      <c r="E144">
        <v>59</v>
      </c>
      <c r="F144" t="str">
        <f t="shared" si="3"/>
        <v>𝍀</v>
      </c>
      <c r="H144" t="s">
        <v>152</v>
      </c>
      <c r="J144" t="str" cm="1">
        <f t="array" ref="J144">_xlfn.LET(
    _xlpm.num, $E144-1,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3122</v>
      </c>
      <c r="K144" t="str" cm="1">
        <f t="array" ref="K144">_xlfn.LET(
    _xlpm.s, TEXT($J144,"0"),
    _xlpm.seq, _xlfn.SEQUENCE(LEN(_xlpm.s)),
    _xlpm.c, MID(_xlpm.s, _xlpm.seq, 1),
    _xlfn.CONCAT(_xlfn.IFS(_xlpm.c="1","7",_xlpm.c="2","8",_xlpm.c="3","9",TRUE,_xlpm.c))
)</f>
        <v>9788</v>
      </c>
      <c r="L144" t="str">
        <f t="shared" si="11"/>
        <v>𝌀⚊⚋⚋</v>
      </c>
      <c r="M144" t="str">
        <f t="shared" si="14"/>
        <v>𝍀</v>
      </c>
      <c r="N144" t="str">
        <f t="shared" si="14"/>
        <v>𝍀</v>
      </c>
    </row>
    <row r="145" spans="2:14">
      <c r="B145" t="str">
        <f t="shared" si="15"/>
        <v>1D341</v>
      </c>
      <c r="C145" cm="1">
        <f t="array" ref="C145">IF($A145="",IF(ROW()=1,"",INDEX(C:C,ROW()-1)+1),HEX2DEC($A145))</f>
        <v>119617</v>
      </c>
      <c r="D145">
        <v>144</v>
      </c>
      <c r="E145">
        <v>60</v>
      </c>
      <c r="F145" t="str">
        <f t="shared" si="3"/>
        <v>𝍁</v>
      </c>
      <c r="H145" t="s">
        <v>153</v>
      </c>
      <c r="J145" t="str" cm="1">
        <f t="array" ref="J145">_xlfn.LET(
    _xlpm.num, $E145-1,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3123</v>
      </c>
      <c r="K145" t="str" cm="1">
        <f t="array" ref="K145">_xlfn.LET(
    _xlpm.s, TEXT($J145,"0"),
    _xlpm.seq, _xlfn.SEQUENCE(LEN(_xlpm.s)),
    _xlpm.c, MID(_xlpm.s, _xlpm.seq, 1),
    _xlfn.CONCAT(_xlfn.IFS(_xlpm.c="1","7",_xlpm.c="2","8",_xlpm.c="3","9",TRUE,_xlpm.c))
)</f>
        <v>9789</v>
      </c>
      <c r="L145" t="str">
        <f t="shared" si="11"/>
        <v>𝌀⚊⚋𝌀</v>
      </c>
      <c r="M145" t="str">
        <f t="shared" si="14"/>
        <v>𝍁</v>
      </c>
      <c r="N145" t="str">
        <f t="shared" si="14"/>
        <v>𝍁</v>
      </c>
    </row>
    <row r="146" spans="2:14">
      <c r="B146" t="str">
        <f t="shared" si="15"/>
        <v>1D342</v>
      </c>
      <c r="C146" cm="1">
        <f t="array" ref="C146">IF($A146="",IF(ROW()=1,"",INDEX(C:C,ROW()-1)+1),HEX2DEC($A146))</f>
        <v>119618</v>
      </c>
      <c r="D146">
        <v>145</v>
      </c>
      <c r="E146">
        <v>61</v>
      </c>
      <c r="F146" t="str">
        <f t="shared" si="3"/>
        <v>𝍂</v>
      </c>
      <c r="H146" t="s">
        <v>154</v>
      </c>
      <c r="J146" t="str" cm="1">
        <f t="array" ref="J146">_xlfn.LET(
    _xlpm.num, $E146-1,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3131</v>
      </c>
      <c r="K146" t="str" cm="1">
        <f t="array" ref="K146">_xlfn.LET(
    _xlpm.s, TEXT($J146,"0"),
    _xlpm.seq, _xlfn.SEQUENCE(LEN(_xlpm.s)),
    _xlpm.c, MID(_xlpm.s, _xlpm.seq, 1),
    _xlfn.CONCAT(_xlfn.IFS(_xlpm.c="1","7",_xlpm.c="2","8",_xlpm.c="3","9",TRUE,_xlpm.c))
)</f>
        <v>9797</v>
      </c>
      <c r="L146" t="str">
        <f t="shared" si="11"/>
        <v>𝌀⚊𝌀⚊</v>
      </c>
      <c r="M146" t="str">
        <f t="shared" ref="M146:N161" si="16">_xlfn.UNICHAR($C146)</f>
        <v>𝍂</v>
      </c>
      <c r="N146" t="str">
        <f t="shared" si="16"/>
        <v>𝍂</v>
      </c>
    </row>
    <row r="147" spans="2:14">
      <c r="B147" t="str">
        <f t="shared" si="15"/>
        <v>1D343</v>
      </c>
      <c r="C147" cm="1">
        <f t="array" ref="C147">IF($A147="",IF(ROW()=1,"",INDEX(C:C,ROW()-1)+1),HEX2DEC($A147))</f>
        <v>119619</v>
      </c>
      <c r="D147">
        <v>146</v>
      </c>
      <c r="E147">
        <v>62</v>
      </c>
      <c r="F147" t="str">
        <f t="shared" si="3"/>
        <v>𝍃</v>
      </c>
      <c r="H147" t="s">
        <v>155</v>
      </c>
      <c r="J147" t="str" cm="1">
        <f t="array" ref="J147">_xlfn.LET(
    _xlpm.num, $E147-1,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3132</v>
      </c>
      <c r="K147" t="str" cm="1">
        <f t="array" ref="K147">_xlfn.LET(
    _xlpm.s, TEXT($J147,"0"),
    _xlpm.seq, _xlfn.SEQUENCE(LEN(_xlpm.s)),
    _xlpm.c, MID(_xlpm.s, _xlpm.seq, 1),
    _xlfn.CONCAT(_xlfn.IFS(_xlpm.c="1","7",_xlpm.c="2","8",_xlpm.c="3","9",TRUE,_xlpm.c))
)</f>
        <v>9798</v>
      </c>
      <c r="L147" t="str">
        <f t="shared" si="11"/>
        <v>𝌀⚊𝌀⚋</v>
      </c>
      <c r="M147" t="str">
        <f t="shared" si="16"/>
        <v>𝍃</v>
      </c>
      <c r="N147" t="str">
        <f t="shared" si="16"/>
        <v>𝍃</v>
      </c>
    </row>
    <row r="148" spans="2:14">
      <c r="B148" t="str">
        <f t="shared" si="15"/>
        <v>1D344</v>
      </c>
      <c r="C148" cm="1">
        <f t="array" ref="C148">IF($A148="",IF(ROW()=1,"",INDEX(C:C,ROW()-1)+1),HEX2DEC($A148))</f>
        <v>119620</v>
      </c>
      <c r="D148">
        <v>147</v>
      </c>
      <c r="E148">
        <v>63</v>
      </c>
      <c r="F148" t="str">
        <f t="shared" si="3"/>
        <v>𝍄</v>
      </c>
      <c r="H148" t="s">
        <v>156</v>
      </c>
      <c r="J148" t="str" cm="1">
        <f t="array" ref="J148">_xlfn.LET(
    _xlpm.num, $E148-1,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3133</v>
      </c>
      <c r="K148" t="str" cm="1">
        <f t="array" ref="K148">_xlfn.LET(
    _xlpm.s, TEXT($J148,"0"),
    _xlpm.seq, _xlfn.SEQUENCE(LEN(_xlpm.s)),
    _xlpm.c, MID(_xlpm.s, _xlpm.seq, 1),
    _xlfn.CONCAT(_xlfn.IFS(_xlpm.c="1","7",_xlpm.c="2","8",_xlpm.c="3","9",TRUE,_xlpm.c))
)</f>
        <v>9799</v>
      </c>
      <c r="L148" t="str">
        <f t="shared" si="11"/>
        <v>𝌀⚊𝌀𝌀</v>
      </c>
      <c r="M148" t="str">
        <f t="shared" si="16"/>
        <v>𝍄</v>
      </c>
      <c r="N148" t="str">
        <f t="shared" si="16"/>
        <v>𝍄</v>
      </c>
    </row>
    <row r="149" spans="2:14">
      <c r="B149" t="str">
        <f t="shared" si="15"/>
        <v>1D345</v>
      </c>
      <c r="C149" cm="1">
        <f t="array" ref="C149">IF($A149="",IF(ROW()=1,"",INDEX(C:C,ROW()-1)+1),HEX2DEC($A149))</f>
        <v>119621</v>
      </c>
      <c r="D149">
        <v>148</v>
      </c>
      <c r="E149">
        <v>64</v>
      </c>
      <c r="F149" t="str">
        <f t="shared" si="3"/>
        <v>𝍅</v>
      </c>
      <c r="H149" t="s">
        <v>157</v>
      </c>
      <c r="J149" t="str" cm="1">
        <f t="array" ref="J149">_xlfn.LET(
    _xlpm.num, $E149-1,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3211</v>
      </c>
      <c r="K149" t="str" cm="1">
        <f t="array" ref="K149">_xlfn.LET(
    _xlpm.s, TEXT($J149,"0"),
    _xlpm.seq, _xlfn.SEQUENCE(LEN(_xlpm.s)),
    _xlpm.c, MID(_xlpm.s, _xlpm.seq, 1),
    _xlfn.CONCAT(_xlfn.IFS(_xlpm.c="1","7",_xlpm.c="2","8",_xlpm.c="3","9",TRUE,_xlpm.c))
)</f>
        <v>9877</v>
      </c>
      <c r="L149" t="str">
        <f t="shared" si="11"/>
        <v>𝌀⚋⚊⚊</v>
      </c>
      <c r="M149" t="str">
        <f t="shared" si="16"/>
        <v>𝍅</v>
      </c>
      <c r="N149" t="str">
        <f t="shared" si="16"/>
        <v>𝍅</v>
      </c>
    </row>
    <row r="150" spans="2:14">
      <c r="B150" t="str">
        <f t="shared" si="15"/>
        <v>1D346</v>
      </c>
      <c r="C150" cm="1">
        <f t="array" ref="C150">IF($A150="",IF(ROW()=1,"",INDEX(C:C,ROW()-1)+1),HEX2DEC($A150))</f>
        <v>119622</v>
      </c>
      <c r="D150">
        <v>149</v>
      </c>
      <c r="E150">
        <v>65</v>
      </c>
      <c r="F150" t="str">
        <f t="shared" si="3"/>
        <v>𝍆</v>
      </c>
      <c r="H150" t="s">
        <v>158</v>
      </c>
      <c r="J150" t="str" cm="1">
        <f t="array" ref="J150">_xlfn.LET(
    _xlpm.num, $E150-1,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3212</v>
      </c>
      <c r="K150" t="str" cm="1">
        <f t="array" ref="K150">_xlfn.LET(
    _xlpm.s, TEXT($J150,"0"),
    _xlpm.seq, _xlfn.SEQUENCE(LEN(_xlpm.s)),
    _xlpm.c, MID(_xlpm.s, _xlpm.seq, 1),
    _xlfn.CONCAT(_xlfn.IFS(_xlpm.c="1","7",_xlpm.c="2","8",_xlpm.c="3","9",TRUE,_xlpm.c))
)</f>
        <v>9878</v>
      </c>
      <c r="L150" t="str">
        <f t="shared" si="11"/>
        <v>𝌀⚋⚊⚋</v>
      </c>
      <c r="M150" t="str">
        <f t="shared" si="16"/>
        <v>𝍆</v>
      </c>
      <c r="N150" t="str">
        <f t="shared" si="16"/>
        <v>𝍆</v>
      </c>
    </row>
    <row r="151" spans="2:14">
      <c r="B151" t="str">
        <f t="shared" si="15"/>
        <v>1D347</v>
      </c>
      <c r="C151" cm="1">
        <f t="array" ref="C151">IF($A151="",IF(ROW()=1,"",INDEX(C:C,ROW()-1)+1),HEX2DEC($A151))</f>
        <v>119623</v>
      </c>
      <c r="D151">
        <v>150</v>
      </c>
      <c r="E151">
        <v>66</v>
      </c>
      <c r="F151" t="str">
        <f t="shared" si="3"/>
        <v>𝍇</v>
      </c>
      <c r="H151" t="s">
        <v>159</v>
      </c>
      <c r="J151" t="str" cm="1">
        <f t="array" ref="J151">_xlfn.LET(
    _xlpm.num, $E151-1,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3213</v>
      </c>
      <c r="K151" t="str" cm="1">
        <f t="array" ref="K151">_xlfn.LET(
    _xlpm.s, TEXT($J151,"0"),
    _xlpm.seq, _xlfn.SEQUENCE(LEN(_xlpm.s)),
    _xlpm.c, MID(_xlpm.s, _xlpm.seq, 1),
    _xlfn.CONCAT(_xlfn.IFS(_xlpm.c="1","7",_xlpm.c="2","8",_xlpm.c="3","9",TRUE,_xlpm.c))
)</f>
        <v>9879</v>
      </c>
      <c r="L151" t="str">
        <f t="shared" ref="L151:L166" si="17">SUBSTITUTE(SUBSTITUTE(SUBSTITUTE(TEXT($J151,"0"),"1","⚊"),"2","⚋"),"3","𝌀")</f>
        <v>𝌀⚋⚊𝌀</v>
      </c>
      <c r="M151" t="str">
        <f t="shared" si="16"/>
        <v>𝍇</v>
      </c>
      <c r="N151" t="str">
        <f t="shared" si="16"/>
        <v>𝍇</v>
      </c>
    </row>
    <row r="152" spans="2:14">
      <c r="B152" t="str">
        <f t="shared" si="15"/>
        <v>1D348</v>
      </c>
      <c r="C152" cm="1">
        <f t="array" ref="C152">IF($A152="",IF(ROW()=1,"",INDEX(C:C,ROW()-1)+1),HEX2DEC($A152))</f>
        <v>119624</v>
      </c>
      <c r="D152">
        <v>151</v>
      </c>
      <c r="E152">
        <v>67</v>
      </c>
      <c r="F152" t="str">
        <f t="shared" si="3"/>
        <v>𝍈</v>
      </c>
      <c r="H152" t="s">
        <v>160</v>
      </c>
      <c r="J152" t="str" cm="1">
        <f t="array" ref="J152">_xlfn.LET(
    _xlpm.num, $E152-1,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3221</v>
      </c>
      <c r="K152" t="str" cm="1">
        <f t="array" ref="K152">_xlfn.LET(
    _xlpm.s, TEXT($J152,"0"),
    _xlpm.seq, _xlfn.SEQUENCE(LEN(_xlpm.s)),
    _xlpm.c, MID(_xlpm.s, _xlpm.seq, 1),
    _xlfn.CONCAT(_xlfn.IFS(_xlpm.c="1","7",_xlpm.c="2","8",_xlpm.c="3","9",TRUE,_xlpm.c))
)</f>
        <v>9887</v>
      </c>
      <c r="L152" t="str">
        <f t="shared" si="17"/>
        <v>𝌀⚋⚋⚊</v>
      </c>
      <c r="M152" t="str">
        <f t="shared" si="16"/>
        <v>𝍈</v>
      </c>
      <c r="N152" t="str">
        <f t="shared" si="16"/>
        <v>𝍈</v>
      </c>
    </row>
    <row r="153" spans="2:14">
      <c r="B153" t="str">
        <f t="shared" si="15"/>
        <v>1D349</v>
      </c>
      <c r="C153" cm="1">
        <f t="array" ref="C153">IF($A153="",IF(ROW()=1,"",INDEX(C:C,ROW()-1)+1),HEX2DEC($A153))</f>
        <v>119625</v>
      </c>
      <c r="D153">
        <v>152</v>
      </c>
      <c r="E153">
        <v>68</v>
      </c>
      <c r="F153" t="str">
        <f t="shared" si="3"/>
        <v>𝍉</v>
      </c>
      <c r="H153" t="s">
        <v>161</v>
      </c>
      <c r="J153" t="str" cm="1">
        <f t="array" ref="J153">_xlfn.LET(
    _xlpm.num, $E153-1,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3222</v>
      </c>
      <c r="K153" t="str" cm="1">
        <f t="array" ref="K153">_xlfn.LET(
    _xlpm.s, TEXT($J153,"0"),
    _xlpm.seq, _xlfn.SEQUENCE(LEN(_xlpm.s)),
    _xlpm.c, MID(_xlpm.s, _xlpm.seq, 1),
    _xlfn.CONCAT(_xlfn.IFS(_xlpm.c="1","7",_xlpm.c="2","8",_xlpm.c="3","9",TRUE,_xlpm.c))
)</f>
        <v>9888</v>
      </c>
      <c r="L153" t="str">
        <f t="shared" si="17"/>
        <v>𝌀⚋⚋⚋</v>
      </c>
      <c r="M153" t="str">
        <f t="shared" si="16"/>
        <v>𝍉</v>
      </c>
      <c r="N153" t="str">
        <f t="shared" si="16"/>
        <v>𝍉</v>
      </c>
    </row>
    <row r="154" spans="2:14">
      <c r="B154" t="str">
        <f t="shared" si="15"/>
        <v>1D34A</v>
      </c>
      <c r="C154" cm="1">
        <f t="array" ref="C154">IF($A154="",IF(ROW()=1,"",INDEX(C:C,ROW()-1)+1),HEX2DEC($A154))</f>
        <v>119626</v>
      </c>
      <c r="D154">
        <v>153</v>
      </c>
      <c r="E154">
        <v>69</v>
      </c>
      <c r="F154" t="str">
        <f t="shared" si="3"/>
        <v>𝍊</v>
      </c>
      <c r="H154" t="s">
        <v>162</v>
      </c>
      <c r="J154" t="str" cm="1">
        <f t="array" ref="J154">_xlfn.LET(
    _xlpm.num, $E154-1,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3223</v>
      </c>
      <c r="K154" t="str" cm="1">
        <f t="array" ref="K154">_xlfn.LET(
    _xlpm.s, TEXT($J154,"0"),
    _xlpm.seq, _xlfn.SEQUENCE(LEN(_xlpm.s)),
    _xlpm.c, MID(_xlpm.s, _xlpm.seq, 1),
    _xlfn.CONCAT(_xlfn.IFS(_xlpm.c="1","7",_xlpm.c="2","8",_xlpm.c="3","9",TRUE,_xlpm.c))
)</f>
        <v>9889</v>
      </c>
      <c r="L154" t="str">
        <f t="shared" si="17"/>
        <v>𝌀⚋⚋𝌀</v>
      </c>
      <c r="M154" t="str">
        <f t="shared" si="16"/>
        <v>𝍊</v>
      </c>
      <c r="N154" t="str">
        <f t="shared" si="16"/>
        <v>𝍊</v>
      </c>
    </row>
    <row r="155" spans="2:14">
      <c r="B155" t="str">
        <f t="shared" si="15"/>
        <v>1D34B</v>
      </c>
      <c r="C155" cm="1">
        <f t="array" ref="C155">IF($A155="",IF(ROW()=1,"",INDEX(C:C,ROW()-1)+1),HEX2DEC($A155))</f>
        <v>119627</v>
      </c>
      <c r="D155">
        <v>154</v>
      </c>
      <c r="E155">
        <v>70</v>
      </c>
      <c r="F155" t="str">
        <f t="shared" si="3"/>
        <v>𝍋</v>
      </c>
      <c r="H155" t="s">
        <v>163</v>
      </c>
      <c r="J155" t="str" cm="1">
        <f t="array" ref="J155">_xlfn.LET(
    _xlpm.num, $E155-1,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3231</v>
      </c>
      <c r="K155" t="str" cm="1">
        <f t="array" ref="K155">_xlfn.LET(
    _xlpm.s, TEXT($J155,"0"),
    _xlpm.seq, _xlfn.SEQUENCE(LEN(_xlpm.s)),
    _xlpm.c, MID(_xlpm.s, _xlpm.seq, 1),
    _xlfn.CONCAT(_xlfn.IFS(_xlpm.c="1","7",_xlpm.c="2","8",_xlpm.c="3","9",TRUE,_xlpm.c))
)</f>
        <v>9897</v>
      </c>
      <c r="L155" t="str">
        <f t="shared" si="17"/>
        <v>𝌀⚋𝌀⚊</v>
      </c>
      <c r="M155" t="str">
        <f t="shared" si="16"/>
        <v>𝍋</v>
      </c>
      <c r="N155" t="str">
        <f t="shared" si="16"/>
        <v>𝍋</v>
      </c>
    </row>
    <row r="156" spans="2:14">
      <c r="B156" t="str">
        <f t="shared" si="15"/>
        <v>1D34C</v>
      </c>
      <c r="C156" cm="1">
        <f t="array" ref="C156">IF($A156="",IF(ROW()=1,"",INDEX(C:C,ROW()-1)+1),HEX2DEC($A156))</f>
        <v>119628</v>
      </c>
      <c r="D156">
        <v>155</v>
      </c>
      <c r="E156">
        <v>71</v>
      </c>
      <c r="F156" t="str">
        <f t="shared" si="3"/>
        <v>𝍌</v>
      </c>
      <c r="H156" t="s">
        <v>164</v>
      </c>
      <c r="J156" t="str" cm="1">
        <f t="array" ref="J156">_xlfn.LET(
    _xlpm.num, $E156-1,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3232</v>
      </c>
      <c r="K156" t="str" cm="1">
        <f t="array" ref="K156">_xlfn.LET(
    _xlpm.s, TEXT($J156,"0"),
    _xlpm.seq, _xlfn.SEQUENCE(LEN(_xlpm.s)),
    _xlpm.c, MID(_xlpm.s, _xlpm.seq, 1),
    _xlfn.CONCAT(_xlfn.IFS(_xlpm.c="1","7",_xlpm.c="2","8",_xlpm.c="3","9",TRUE,_xlpm.c))
)</f>
        <v>9898</v>
      </c>
      <c r="L156" t="str">
        <f t="shared" si="17"/>
        <v>𝌀⚋𝌀⚋</v>
      </c>
      <c r="M156" t="str">
        <f t="shared" si="16"/>
        <v>𝍌</v>
      </c>
      <c r="N156" t="str">
        <f t="shared" si="16"/>
        <v>𝍌</v>
      </c>
    </row>
    <row r="157" spans="2:14">
      <c r="B157" t="str">
        <f t="shared" si="15"/>
        <v>1D34D</v>
      </c>
      <c r="C157" cm="1">
        <f t="array" ref="C157">IF($A157="",IF(ROW()=1,"",INDEX(C:C,ROW()-1)+1),HEX2DEC($A157))</f>
        <v>119629</v>
      </c>
      <c r="D157">
        <v>156</v>
      </c>
      <c r="E157">
        <v>72</v>
      </c>
      <c r="F157" t="str">
        <f t="shared" si="3"/>
        <v>𝍍</v>
      </c>
      <c r="H157" t="s">
        <v>165</v>
      </c>
      <c r="J157" t="str" cm="1">
        <f t="array" ref="J157">_xlfn.LET(
    _xlpm.num, $E157-1,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3233</v>
      </c>
      <c r="K157" t="str" cm="1">
        <f t="array" ref="K157">_xlfn.LET(
    _xlpm.s, TEXT($J157,"0"),
    _xlpm.seq, _xlfn.SEQUENCE(LEN(_xlpm.s)),
    _xlpm.c, MID(_xlpm.s, _xlpm.seq, 1),
    _xlfn.CONCAT(_xlfn.IFS(_xlpm.c="1","7",_xlpm.c="2","8",_xlpm.c="3","9",TRUE,_xlpm.c))
)</f>
        <v>9899</v>
      </c>
      <c r="L157" t="str">
        <f t="shared" si="17"/>
        <v>𝌀⚋𝌀𝌀</v>
      </c>
      <c r="M157" t="str">
        <f t="shared" si="16"/>
        <v>𝍍</v>
      </c>
      <c r="N157" t="str">
        <f t="shared" si="16"/>
        <v>𝍍</v>
      </c>
    </row>
    <row r="158" spans="2:14">
      <c r="B158" t="str">
        <f t="shared" si="15"/>
        <v>1D34E</v>
      </c>
      <c r="C158" cm="1">
        <f t="array" ref="C158">IF($A158="",IF(ROW()=1,"",INDEX(C:C,ROW()-1)+1),HEX2DEC($A158))</f>
        <v>119630</v>
      </c>
      <c r="D158">
        <v>157</v>
      </c>
      <c r="E158">
        <v>73</v>
      </c>
      <c r="F158" t="str">
        <f t="shared" si="3"/>
        <v>𝍎</v>
      </c>
      <c r="H158" t="s">
        <v>166</v>
      </c>
      <c r="J158" t="str" cm="1">
        <f t="array" ref="J158">_xlfn.LET(
    _xlpm.num, $E158-1,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3311</v>
      </c>
      <c r="K158" t="str" cm="1">
        <f t="array" ref="K158">_xlfn.LET(
    _xlpm.s, TEXT($J158,"0"),
    _xlpm.seq, _xlfn.SEQUENCE(LEN(_xlpm.s)),
    _xlpm.c, MID(_xlpm.s, _xlpm.seq, 1),
    _xlfn.CONCAT(_xlfn.IFS(_xlpm.c="1","7",_xlpm.c="2","8",_xlpm.c="3","9",TRUE,_xlpm.c))
)</f>
        <v>9977</v>
      </c>
      <c r="L158" t="str">
        <f t="shared" si="17"/>
        <v>𝌀𝌀⚊⚊</v>
      </c>
      <c r="M158" t="str">
        <f t="shared" si="16"/>
        <v>𝍎</v>
      </c>
      <c r="N158" t="str">
        <f t="shared" si="16"/>
        <v>𝍎</v>
      </c>
    </row>
    <row r="159" spans="2:14">
      <c r="B159" t="str">
        <f t="shared" si="15"/>
        <v>1D34F</v>
      </c>
      <c r="C159" cm="1">
        <f t="array" ref="C159">IF($A159="",IF(ROW()=1,"",INDEX(C:C,ROW()-1)+1),HEX2DEC($A159))</f>
        <v>119631</v>
      </c>
      <c r="D159">
        <v>158</v>
      </c>
      <c r="E159">
        <v>74</v>
      </c>
      <c r="F159" t="str">
        <f t="shared" si="3"/>
        <v>𝍏</v>
      </c>
      <c r="H159" t="s">
        <v>167</v>
      </c>
      <c r="J159" t="str" cm="1">
        <f t="array" ref="J159">_xlfn.LET(
    _xlpm.num, $E159-1,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3312</v>
      </c>
      <c r="K159" t="str" cm="1">
        <f t="array" ref="K159">_xlfn.LET(
    _xlpm.s, TEXT($J159,"0"),
    _xlpm.seq, _xlfn.SEQUENCE(LEN(_xlpm.s)),
    _xlpm.c, MID(_xlpm.s, _xlpm.seq, 1),
    _xlfn.CONCAT(_xlfn.IFS(_xlpm.c="1","7",_xlpm.c="2","8",_xlpm.c="3","9",TRUE,_xlpm.c))
)</f>
        <v>9978</v>
      </c>
      <c r="L159" t="str">
        <f t="shared" si="17"/>
        <v>𝌀𝌀⚊⚋</v>
      </c>
      <c r="M159" t="str">
        <f t="shared" si="16"/>
        <v>𝍏</v>
      </c>
      <c r="N159" t="str">
        <f t="shared" si="16"/>
        <v>𝍏</v>
      </c>
    </row>
    <row r="160" spans="2:14">
      <c r="B160" t="str">
        <f t="shared" si="15"/>
        <v>1D350</v>
      </c>
      <c r="C160" cm="1">
        <f t="array" ref="C160">IF($A160="",IF(ROW()=1,"",INDEX(C:C,ROW()-1)+1),HEX2DEC($A160))</f>
        <v>119632</v>
      </c>
      <c r="D160">
        <v>159</v>
      </c>
      <c r="E160">
        <v>75</v>
      </c>
      <c r="F160" t="str">
        <f t="shared" si="3"/>
        <v>𝍐</v>
      </c>
      <c r="H160" t="s">
        <v>168</v>
      </c>
      <c r="J160" t="str" cm="1">
        <f t="array" ref="J160">_xlfn.LET(
    _xlpm.num, $E160-1,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3313</v>
      </c>
      <c r="K160" t="str" cm="1">
        <f t="array" ref="K160">_xlfn.LET(
    _xlpm.s, TEXT($J160,"0"),
    _xlpm.seq, _xlfn.SEQUENCE(LEN(_xlpm.s)),
    _xlpm.c, MID(_xlpm.s, _xlpm.seq, 1),
    _xlfn.CONCAT(_xlfn.IFS(_xlpm.c="1","7",_xlpm.c="2","8",_xlpm.c="3","9",TRUE,_xlpm.c))
)</f>
        <v>9979</v>
      </c>
      <c r="L160" t="str">
        <f t="shared" si="17"/>
        <v>𝌀𝌀⚊𝌀</v>
      </c>
      <c r="M160" t="str">
        <f t="shared" si="16"/>
        <v>𝍐</v>
      </c>
      <c r="N160" t="str">
        <f t="shared" si="16"/>
        <v>𝍐</v>
      </c>
    </row>
    <row r="161" spans="2:14">
      <c r="B161" t="str">
        <f t="shared" si="15"/>
        <v>1D351</v>
      </c>
      <c r="C161" cm="1">
        <f t="array" ref="C161">IF($A161="",IF(ROW()=1,"",INDEX(C:C,ROW()-1)+1),HEX2DEC($A161))</f>
        <v>119633</v>
      </c>
      <c r="D161">
        <v>160</v>
      </c>
      <c r="E161">
        <v>76</v>
      </c>
      <c r="F161" t="str">
        <f t="shared" si="3"/>
        <v>𝍑</v>
      </c>
      <c r="H161" t="s">
        <v>169</v>
      </c>
      <c r="J161" t="str" cm="1">
        <f t="array" ref="J161">_xlfn.LET(
    _xlpm.num, $E161-1,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3321</v>
      </c>
      <c r="K161" t="str" cm="1">
        <f t="array" ref="K161">_xlfn.LET(
    _xlpm.s, TEXT($J161,"0"),
    _xlpm.seq, _xlfn.SEQUENCE(LEN(_xlpm.s)),
    _xlpm.c, MID(_xlpm.s, _xlpm.seq, 1),
    _xlfn.CONCAT(_xlfn.IFS(_xlpm.c="1","7",_xlpm.c="2","8",_xlpm.c="3","9",TRUE,_xlpm.c))
)</f>
        <v>9987</v>
      </c>
      <c r="L161" t="str">
        <f t="shared" si="17"/>
        <v>𝌀𝌀⚋⚊</v>
      </c>
      <c r="M161" t="str">
        <f t="shared" si="16"/>
        <v>𝍑</v>
      </c>
      <c r="N161" t="str">
        <f t="shared" si="16"/>
        <v>𝍑</v>
      </c>
    </row>
    <row r="162" spans="2:14">
      <c r="B162" t="str">
        <f t="shared" si="15"/>
        <v>1D352</v>
      </c>
      <c r="C162" cm="1">
        <f t="array" ref="C162">IF($A162="",IF(ROW()=1,"",INDEX(C:C,ROW()-1)+1),HEX2DEC($A162))</f>
        <v>119634</v>
      </c>
      <c r="D162">
        <v>161</v>
      </c>
      <c r="E162">
        <v>77</v>
      </c>
      <c r="F162" t="str">
        <f t="shared" si="3"/>
        <v>𝍒</v>
      </c>
      <c r="H162" t="s">
        <v>170</v>
      </c>
      <c r="J162" t="str" cm="1">
        <f t="array" ref="J162">_xlfn.LET(
    _xlpm.num, $E162-1,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3322</v>
      </c>
      <c r="K162" t="str" cm="1">
        <f t="array" ref="K162">_xlfn.LET(
    _xlpm.s, TEXT($J162,"0"),
    _xlpm.seq, _xlfn.SEQUENCE(LEN(_xlpm.s)),
    _xlpm.c, MID(_xlpm.s, _xlpm.seq, 1),
    _xlfn.CONCAT(_xlfn.IFS(_xlpm.c="1","7",_xlpm.c="2","8",_xlpm.c="3","9",TRUE,_xlpm.c))
)</f>
        <v>9988</v>
      </c>
      <c r="L162" t="str">
        <f t="shared" si="17"/>
        <v>𝌀𝌀⚋⚋</v>
      </c>
      <c r="M162" t="str">
        <f t="shared" ref="M162:N166" si="18">_xlfn.UNICHAR($C162)</f>
        <v>𝍒</v>
      </c>
      <c r="N162" t="str">
        <f t="shared" si="18"/>
        <v>𝍒</v>
      </c>
    </row>
    <row r="163" spans="2:14">
      <c r="B163" t="str">
        <f t="shared" si="15"/>
        <v>1D353</v>
      </c>
      <c r="C163" cm="1">
        <f t="array" ref="C163">IF($A163="",IF(ROW()=1,"",INDEX(C:C,ROW()-1)+1),HEX2DEC($A163))</f>
        <v>119635</v>
      </c>
      <c r="D163">
        <v>162</v>
      </c>
      <c r="E163">
        <v>78</v>
      </c>
      <c r="F163" t="str">
        <f t="shared" si="3"/>
        <v>𝍓</v>
      </c>
      <c r="H163" t="s">
        <v>171</v>
      </c>
      <c r="J163" t="str" cm="1">
        <f t="array" ref="J163">_xlfn.LET(
    _xlpm.num, $E163-1,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3323</v>
      </c>
      <c r="K163" t="str" cm="1">
        <f t="array" ref="K163">_xlfn.LET(
    _xlpm.s, TEXT($J163,"0"),
    _xlpm.seq, _xlfn.SEQUENCE(LEN(_xlpm.s)),
    _xlpm.c, MID(_xlpm.s, _xlpm.seq, 1),
    _xlfn.CONCAT(_xlfn.IFS(_xlpm.c="1","7",_xlpm.c="2","8",_xlpm.c="3","9",TRUE,_xlpm.c))
)</f>
        <v>9989</v>
      </c>
      <c r="L163" t="str">
        <f t="shared" si="17"/>
        <v>𝌀𝌀⚋𝌀</v>
      </c>
      <c r="M163" t="str">
        <f t="shared" si="18"/>
        <v>𝍓</v>
      </c>
      <c r="N163" t="str">
        <f t="shared" si="18"/>
        <v>𝍓</v>
      </c>
    </row>
    <row r="164" spans="2:14">
      <c r="B164" t="str">
        <f t="shared" si="15"/>
        <v>1D354</v>
      </c>
      <c r="C164" cm="1">
        <f t="array" ref="C164">IF($A164="",IF(ROW()=1,"",INDEX(C:C,ROW()-1)+1),HEX2DEC($A164))</f>
        <v>119636</v>
      </c>
      <c r="D164">
        <v>163</v>
      </c>
      <c r="E164">
        <v>79</v>
      </c>
      <c r="F164" t="str">
        <f t="shared" si="3"/>
        <v>𝍔</v>
      </c>
      <c r="H164" t="s">
        <v>172</v>
      </c>
      <c r="J164" t="str" cm="1">
        <f t="array" ref="J164">_xlfn.LET(
    _xlpm.num, $E164-1,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3331</v>
      </c>
      <c r="K164" t="str" cm="1">
        <f t="array" ref="K164">_xlfn.LET(
    _xlpm.s, TEXT($J164,"0"),
    _xlpm.seq, _xlfn.SEQUENCE(LEN(_xlpm.s)),
    _xlpm.c, MID(_xlpm.s, _xlpm.seq, 1),
    _xlfn.CONCAT(_xlfn.IFS(_xlpm.c="1","7",_xlpm.c="2","8",_xlpm.c="3","9",TRUE,_xlpm.c))
)</f>
        <v>9997</v>
      </c>
      <c r="L164" t="str">
        <f t="shared" si="17"/>
        <v>𝌀𝌀𝌀⚊</v>
      </c>
      <c r="M164" t="str">
        <f t="shared" si="18"/>
        <v>𝍔</v>
      </c>
      <c r="N164" t="str">
        <f t="shared" si="18"/>
        <v>𝍔</v>
      </c>
    </row>
    <row r="165" spans="2:14">
      <c r="B165" t="str">
        <f t="shared" si="15"/>
        <v>1D355</v>
      </c>
      <c r="C165" cm="1">
        <f t="array" ref="C165">IF($A165="",IF(ROW()=1,"",INDEX(C:C,ROW()-1)+1),HEX2DEC($A165))</f>
        <v>119637</v>
      </c>
      <c r="D165">
        <v>164</v>
      </c>
      <c r="E165">
        <v>80</v>
      </c>
      <c r="F165" t="str">
        <f t="shared" si="3"/>
        <v>𝍕</v>
      </c>
      <c r="H165" t="s">
        <v>173</v>
      </c>
      <c r="J165" t="str" cm="1">
        <f t="array" ref="J165">_xlfn.LET(
    _xlpm.num, $E165-1,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3332</v>
      </c>
      <c r="K165" t="str" cm="1">
        <f t="array" ref="K165">_xlfn.LET(
    _xlpm.s, TEXT($J165,"0"),
    _xlpm.seq, _xlfn.SEQUENCE(LEN(_xlpm.s)),
    _xlpm.c, MID(_xlpm.s, _xlpm.seq, 1),
    _xlfn.CONCAT(_xlfn.IFS(_xlpm.c="1","7",_xlpm.c="2","8",_xlpm.c="3","9",TRUE,_xlpm.c))
)</f>
        <v>9998</v>
      </c>
      <c r="L165" t="str">
        <f t="shared" si="17"/>
        <v>𝌀𝌀𝌀⚋</v>
      </c>
      <c r="M165" t="str">
        <f t="shared" si="18"/>
        <v>𝍕</v>
      </c>
      <c r="N165" t="str">
        <f t="shared" si="18"/>
        <v>𝍕</v>
      </c>
    </row>
    <row r="166" spans="2:14">
      <c r="B166" t="str">
        <f t="shared" si="15"/>
        <v>1D356</v>
      </c>
      <c r="C166" cm="1">
        <f t="array" ref="C166">IF($A166="",IF(ROW()=1,"",INDEX(C:C,ROW()-1)+1),HEX2DEC($A166))</f>
        <v>119638</v>
      </c>
      <c r="D166">
        <v>165</v>
      </c>
      <c r="E166">
        <v>81</v>
      </c>
      <c r="F166" t="str">
        <f t="shared" si="3"/>
        <v>𝍖</v>
      </c>
      <c r="H166" t="s">
        <v>174</v>
      </c>
      <c r="J166" t="str" cm="1">
        <f t="array" ref="J166">_xlfn.LET(
    _xlpm.num, $E166-1,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3333</v>
      </c>
      <c r="K166" t="str" cm="1">
        <f t="array" ref="K166">_xlfn.LET(
    _xlpm.s, TEXT($J166,"0"),
    _xlpm.seq, _xlfn.SEQUENCE(LEN(_xlpm.s)),
    _xlpm.c, MID(_xlpm.s, _xlpm.seq, 1),
    _xlfn.CONCAT(_xlfn.IFS(_xlpm.c="1","7",_xlpm.c="2","8",_xlpm.c="3","9",TRUE,_xlpm.c))
)</f>
        <v>9999</v>
      </c>
      <c r="L166" t="str">
        <f t="shared" si="17"/>
        <v>𝌀𝌀𝌀𝌀</v>
      </c>
      <c r="M166" t="str">
        <f t="shared" si="18"/>
        <v>𝍖</v>
      </c>
      <c r="N166" t="str">
        <f t="shared" si="18"/>
        <v>𝍖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016F-251E-4770-BDA2-023B7D8F73ED}">
  <dimension ref="A1:J95"/>
  <sheetViews>
    <sheetView workbookViewId="0">
      <selection activeCell="D37" sqref="D37"/>
    </sheetView>
  </sheetViews>
  <sheetFormatPr defaultRowHeight="16.2"/>
  <cols>
    <col min="3" max="3" width="9.6640625" bestFit="1" customWidth="1"/>
    <col min="4" max="4" width="9.6640625" customWidth="1"/>
  </cols>
  <sheetData>
    <row r="1" spans="1:10">
      <c r="A1">
        <v>20</v>
      </c>
      <c r="B1" cm="1">
        <f t="array" ref="B1">IF($A1="",IF(ROW()=1,"",INDEX(B:B,ROW()-1)+1),HEX2DEC($A1))</f>
        <v>32</v>
      </c>
      <c r="C1" t="str">
        <f>DEC2BIN($B1)</f>
        <v>100000</v>
      </c>
      <c r="D1">
        <f>LEN($C1)-LEN(SUBSTITUTE($C1,"1",""))</f>
        <v>1</v>
      </c>
      <c r="E1">
        <v>1</v>
      </c>
      <c r="F1" t="str">
        <f>_xlfn.UNICHAR($B1)</f>
        <v xml:space="preserve"> </v>
      </c>
      <c r="I1" t="str">
        <f>"    "&amp;""""&amp;IF($F1="""","\""",IF($F1="\","\\",$F1))&amp;""""&amp;" : "&amp;$H1&amp;"# U+"&amp;DEC2HEX($B1)</f>
        <v xml:space="preserve">    " " : # U+20</v>
      </c>
      <c r="J1" t="str">
        <f>"    "&amp;""""&amp;IF($F1="""","\""",IF($F1="\","\\",$F1))&amp;""""&amp;" : "&amp;$H1&amp;"# U+"&amp;DEC2HEX($B1)</f>
        <v xml:space="preserve">    " " : # U+20</v>
      </c>
    </row>
    <row r="2" spans="1:10">
      <c r="B2" cm="1">
        <f t="array" ref="B2">IF($A2="",IF(ROW()=1,"",INDEX(B:B,ROW()-1)+1),HEX2DEC($A2))</f>
        <v>33</v>
      </c>
      <c r="C2" t="str">
        <f t="shared" ref="C2:C65" si="0">DEC2BIN($B2)</f>
        <v>100001</v>
      </c>
      <c r="D2">
        <f t="shared" ref="D2:D65" si="1">LEN($C2)-LEN(SUBSTITUTE($C2,"1",""))</f>
        <v>2</v>
      </c>
      <c r="E2">
        <v>2</v>
      </c>
      <c r="F2" t="str">
        <f t="shared" ref="F2:F65" si="2">_xlfn.UNICHAR($B2)</f>
        <v>!</v>
      </c>
      <c r="I2" t="str">
        <f t="shared" ref="I2:I33" si="3">"    "&amp;""""&amp;IF($F2="""","\""",IF($F2="\","\\",$F2))&amp;""""&amp;" : "&amp;$H2&amp;"# U+"&amp;DEC2HEX($B2)</f>
        <v xml:space="preserve">    "!" : # U+21</v>
      </c>
      <c r="J2" t="str">
        <f t="shared" ref="J2:J65" si="4">"    "&amp;""""&amp;IF($F2="""","\""",IF($F2="\","\\",$F2))&amp;""""&amp;" : "&amp;$H2&amp;"# U+"&amp;DEC2HEX($B2)</f>
        <v xml:space="preserve">    "!" : # U+21</v>
      </c>
    </row>
    <row r="3" spans="1:10">
      <c r="B3" cm="1">
        <f t="array" ref="B3">IF($A3="",IF(ROW()=1,"",INDEX(B:B,ROW()-1)+1),HEX2DEC($A3))</f>
        <v>34</v>
      </c>
      <c r="C3" t="str">
        <f t="shared" si="0"/>
        <v>100010</v>
      </c>
      <c r="D3">
        <f t="shared" si="1"/>
        <v>2</v>
      </c>
      <c r="E3">
        <v>3</v>
      </c>
      <c r="F3" t="str">
        <f t="shared" si="2"/>
        <v>"</v>
      </c>
      <c r="I3" t="str">
        <f t="shared" si="3"/>
        <v xml:space="preserve">    "\"" : # U+22</v>
      </c>
      <c r="J3" t="str">
        <f t="shared" si="4"/>
        <v xml:space="preserve">    "\"" : # U+22</v>
      </c>
    </row>
    <row r="4" spans="1:10">
      <c r="B4" cm="1">
        <f t="array" ref="B4">IF($A4="",IF(ROW()=1,"",INDEX(B:B,ROW()-1)+1),HEX2DEC($A4))</f>
        <v>35</v>
      </c>
      <c r="C4" t="str">
        <f t="shared" si="0"/>
        <v>100011</v>
      </c>
      <c r="D4">
        <f t="shared" si="1"/>
        <v>3</v>
      </c>
      <c r="E4">
        <v>4</v>
      </c>
      <c r="F4" t="str">
        <f t="shared" si="2"/>
        <v>#</v>
      </c>
      <c r="I4" t="str">
        <f t="shared" si="3"/>
        <v xml:space="preserve">    "#" : # U+23</v>
      </c>
      <c r="J4" t="str">
        <f t="shared" si="4"/>
        <v xml:space="preserve">    "#" : # U+23</v>
      </c>
    </row>
    <row r="5" spans="1:10">
      <c r="B5" cm="1">
        <f t="array" ref="B5">IF($A5="",IF(ROW()=1,"",INDEX(B:B,ROW()-1)+1),HEX2DEC($A5))</f>
        <v>36</v>
      </c>
      <c r="C5" t="str">
        <f t="shared" si="0"/>
        <v>100100</v>
      </c>
      <c r="D5">
        <f t="shared" si="1"/>
        <v>2</v>
      </c>
      <c r="E5">
        <v>5</v>
      </c>
      <c r="F5" t="str">
        <f t="shared" si="2"/>
        <v>$</v>
      </c>
      <c r="I5" t="str">
        <f t="shared" si="3"/>
        <v xml:space="preserve">    "$" : # U+24</v>
      </c>
      <c r="J5" t="str">
        <f t="shared" si="4"/>
        <v xml:space="preserve">    "$" : # U+24</v>
      </c>
    </row>
    <row r="6" spans="1:10">
      <c r="B6" cm="1">
        <f t="array" ref="B6">IF($A6="",IF(ROW()=1,"",INDEX(B:B,ROW()-1)+1),HEX2DEC($A6))</f>
        <v>37</v>
      </c>
      <c r="C6" t="str">
        <f t="shared" si="0"/>
        <v>100101</v>
      </c>
      <c r="D6">
        <f t="shared" si="1"/>
        <v>3</v>
      </c>
      <c r="E6">
        <v>6</v>
      </c>
      <c r="F6" t="str">
        <f t="shared" si="2"/>
        <v>%</v>
      </c>
      <c r="I6" t="str">
        <f t="shared" si="3"/>
        <v xml:space="preserve">    "%" : # U+25</v>
      </c>
      <c r="J6" t="str">
        <f t="shared" si="4"/>
        <v xml:space="preserve">    "%" : # U+25</v>
      </c>
    </row>
    <row r="7" spans="1:10">
      <c r="B7" cm="1">
        <f t="array" ref="B7">IF($A7="",IF(ROW()=1,"",INDEX(B:B,ROW()-1)+1),HEX2DEC($A7))</f>
        <v>38</v>
      </c>
      <c r="C7" t="str">
        <f t="shared" si="0"/>
        <v>100110</v>
      </c>
      <c r="D7">
        <f t="shared" si="1"/>
        <v>3</v>
      </c>
      <c r="E7">
        <v>7</v>
      </c>
      <c r="F7" t="str">
        <f t="shared" si="2"/>
        <v>&amp;</v>
      </c>
      <c r="I7" t="str">
        <f t="shared" si="3"/>
        <v xml:space="preserve">    "&amp;" : # U+26</v>
      </c>
      <c r="J7" t="str">
        <f t="shared" si="4"/>
        <v xml:space="preserve">    "&amp;" : # U+26</v>
      </c>
    </row>
    <row r="8" spans="1:10">
      <c r="B8" cm="1">
        <f t="array" ref="B8">IF($A8="",IF(ROW()=1,"",INDEX(B:B,ROW()-1)+1),HEX2DEC($A8))</f>
        <v>39</v>
      </c>
      <c r="C8" t="str">
        <f t="shared" si="0"/>
        <v>100111</v>
      </c>
      <c r="D8">
        <f t="shared" si="1"/>
        <v>4</v>
      </c>
      <c r="E8">
        <v>8</v>
      </c>
      <c r="F8" t="str">
        <f t="shared" si="2"/>
        <v>'</v>
      </c>
      <c r="I8" t="str">
        <f t="shared" si="3"/>
        <v xml:space="preserve">    "'" : # U+27</v>
      </c>
      <c r="J8" t="str">
        <f t="shared" si="4"/>
        <v xml:space="preserve">    "'" : # U+27</v>
      </c>
    </row>
    <row r="9" spans="1:10">
      <c r="B9" cm="1">
        <f t="array" ref="B9">IF($A9="",IF(ROW()=1,"",INDEX(B:B,ROW()-1)+1),HEX2DEC($A9))</f>
        <v>40</v>
      </c>
      <c r="C9" t="str">
        <f t="shared" si="0"/>
        <v>101000</v>
      </c>
      <c r="D9">
        <f t="shared" si="1"/>
        <v>2</v>
      </c>
      <c r="E9">
        <v>9</v>
      </c>
      <c r="F9" t="str">
        <f t="shared" si="2"/>
        <v>(</v>
      </c>
      <c r="I9" t="str">
        <f t="shared" si="3"/>
        <v xml:space="preserve">    "(" : # U+28</v>
      </c>
      <c r="J9" t="str">
        <f t="shared" si="4"/>
        <v xml:space="preserve">    "(" : # U+28</v>
      </c>
    </row>
    <row r="10" spans="1:10">
      <c r="B10" cm="1">
        <f t="array" ref="B10">IF($A10="",IF(ROW()=1,"",INDEX(B:B,ROW()-1)+1),HEX2DEC($A10))</f>
        <v>41</v>
      </c>
      <c r="C10" t="str">
        <f t="shared" si="0"/>
        <v>101001</v>
      </c>
      <c r="D10">
        <f t="shared" si="1"/>
        <v>3</v>
      </c>
      <c r="E10">
        <v>10</v>
      </c>
      <c r="F10" t="str">
        <f t="shared" si="2"/>
        <v>)</v>
      </c>
      <c r="I10" t="str">
        <f t="shared" si="3"/>
        <v xml:space="preserve">    ")" : # U+29</v>
      </c>
      <c r="J10" t="str">
        <f t="shared" si="4"/>
        <v xml:space="preserve">    ")" : # U+29</v>
      </c>
    </row>
    <row r="11" spans="1:10">
      <c r="B11" cm="1">
        <f t="array" ref="B11">IF($A11="",IF(ROW()=1,"",INDEX(B:B,ROW()-1)+1),HEX2DEC($A11))</f>
        <v>42</v>
      </c>
      <c r="C11" t="str">
        <f t="shared" si="0"/>
        <v>101010</v>
      </c>
      <c r="D11">
        <f t="shared" si="1"/>
        <v>3</v>
      </c>
      <c r="E11">
        <v>11</v>
      </c>
      <c r="F11" t="str">
        <f t="shared" si="2"/>
        <v>*</v>
      </c>
      <c r="I11" t="str">
        <f t="shared" si="3"/>
        <v xml:space="preserve">    "*" : # U+2A</v>
      </c>
      <c r="J11" t="str">
        <f t="shared" si="4"/>
        <v xml:space="preserve">    "*" : # U+2A</v>
      </c>
    </row>
    <row r="12" spans="1:10">
      <c r="B12" cm="1">
        <f t="array" ref="B12">IF($A12="",IF(ROW()=1,"",INDEX(B:B,ROW()-1)+1),HEX2DEC($A12))</f>
        <v>43</v>
      </c>
      <c r="C12" t="str">
        <f t="shared" si="0"/>
        <v>101011</v>
      </c>
      <c r="D12">
        <f t="shared" si="1"/>
        <v>4</v>
      </c>
      <c r="E12">
        <v>12</v>
      </c>
      <c r="F12" t="str">
        <f t="shared" si="2"/>
        <v>+</v>
      </c>
      <c r="I12" t="str">
        <f t="shared" si="3"/>
        <v xml:space="preserve">    "+" : # U+2B</v>
      </c>
      <c r="J12" t="str">
        <f t="shared" si="4"/>
        <v xml:space="preserve">    "+" : # U+2B</v>
      </c>
    </row>
    <row r="13" spans="1:10">
      <c r="B13" cm="1">
        <f t="array" ref="B13">IF($A13="",IF(ROW()=1,"",INDEX(B:B,ROW()-1)+1),HEX2DEC($A13))</f>
        <v>44</v>
      </c>
      <c r="C13" t="str">
        <f t="shared" si="0"/>
        <v>101100</v>
      </c>
      <c r="D13">
        <f t="shared" si="1"/>
        <v>3</v>
      </c>
      <c r="E13">
        <v>13</v>
      </c>
      <c r="F13" t="str">
        <f t="shared" si="2"/>
        <v>,</v>
      </c>
      <c r="G13">
        <v>1.8</v>
      </c>
      <c r="I13" t="str">
        <f t="shared" si="3"/>
        <v xml:space="preserve">    "," : # U+2C</v>
      </c>
      <c r="J13" t="str">
        <f t="shared" si="4"/>
        <v xml:space="preserve">    "," : # U+2C</v>
      </c>
    </row>
    <row r="14" spans="1:10">
      <c r="B14" cm="1">
        <f t="array" ref="B14">IF($A14="",IF(ROW()=1,"",INDEX(B:B,ROW()-1)+1),HEX2DEC($A14))</f>
        <v>45</v>
      </c>
      <c r="C14" t="str">
        <f t="shared" si="0"/>
        <v>101101</v>
      </c>
      <c r="D14">
        <f t="shared" si="1"/>
        <v>4</v>
      </c>
      <c r="E14">
        <v>14</v>
      </c>
      <c r="F14" t="str">
        <f t="shared" si="2"/>
        <v>-</v>
      </c>
      <c r="I14" t="str">
        <f t="shared" si="3"/>
        <v xml:space="preserve">    "-" : # U+2D</v>
      </c>
      <c r="J14" t="str">
        <f t="shared" si="4"/>
        <v xml:space="preserve">    "-" : # U+2D</v>
      </c>
    </row>
    <row r="15" spans="1:10">
      <c r="B15" cm="1">
        <f t="array" ref="B15">IF($A15="",IF(ROW()=1,"",INDEX(B:B,ROW()-1)+1),HEX2DEC($A15))</f>
        <v>46</v>
      </c>
      <c r="C15" t="str">
        <f t="shared" si="0"/>
        <v>101110</v>
      </c>
      <c r="D15">
        <f t="shared" si="1"/>
        <v>4</v>
      </c>
      <c r="E15">
        <v>15</v>
      </c>
      <c r="F15" t="str">
        <f t="shared" si="2"/>
        <v>.</v>
      </c>
      <c r="G15">
        <v>2.2999999999999998</v>
      </c>
      <c r="I15" t="str">
        <f t="shared" si="3"/>
        <v xml:space="preserve">    "." : # U+2E</v>
      </c>
      <c r="J15" t="str">
        <f t="shared" si="4"/>
        <v xml:space="preserve">    "." : # U+2E</v>
      </c>
    </row>
    <row r="16" spans="1:10">
      <c r="B16" cm="1">
        <f t="array" ref="B16">IF($A16="",IF(ROW()=1,"",INDEX(B:B,ROW()-1)+1),HEX2DEC($A16))</f>
        <v>47</v>
      </c>
      <c r="C16" t="str">
        <f t="shared" si="0"/>
        <v>101111</v>
      </c>
      <c r="D16">
        <f t="shared" si="1"/>
        <v>5</v>
      </c>
      <c r="E16">
        <v>16</v>
      </c>
      <c r="F16" t="str">
        <f t="shared" si="2"/>
        <v>/</v>
      </c>
      <c r="G16">
        <v>3.2</v>
      </c>
      <c r="I16" t="str">
        <f t="shared" si="3"/>
        <v xml:space="preserve">    "/" : # U+2F</v>
      </c>
      <c r="J16" t="str">
        <f t="shared" si="4"/>
        <v xml:space="preserve">    "/" : # U+2F</v>
      </c>
    </row>
    <row r="17" spans="2:10">
      <c r="B17" cm="1">
        <f t="array" ref="B17">IF($A17="",IF(ROW()=1,"",INDEX(B:B,ROW()-1)+1),HEX2DEC($A17))</f>
        <v>48</v>
      </c>
      <c r="C17" t="str">
        <f t="shared" si="0"/>
        <v>110000</v>
      </c>
      <c r="D17">
        <f t="shared" si="1"/>
        <v>2</v>
      </c>
      <c r="E17">
        <v>17</v>
      </c>
      <c r="F17" t="str">
        <f t="shared" si="2"/>
        <v>0</v>
      </c>
      <c r="I17" t="str">
        <f t="shared" si="3"/>
        <v xml:space="preserve">    "0" : # U+30</v>
      </c>
      <c r="J17" t="str">
        <f t="shared" si="4"/>
        <v xml:space="preserve">    "0" : # U+30</v>
      </c>
    </row>
    <row r="18" spans="2:10">
      <c r="B18" cm="1">
        <f t="array" ref="B18">IF($A18="",IF(ROW()=1,"",INDEX(B:B,ROW()-1)+1),HEX2DEC($A18))</f>
        <v>49</v>
      </c>
      <c r="C18" t="str">
        <f t="shared" si="0"/>
        <v>110001</v>
      </c>
      <c r="D18">
        <f t="shared" si="1"/>
        <v>3</v>
      </c>
      <c r="E18">
        <v>18</v>
      </c>
      <c r="F18" t="str">
        <f t="shared" si="2"/>
        <v>1</v>
      </c>
      <c r="I18" t="str">
        <f t="shared" si="3"/>
        <v xml:space="preserve">    "1" : # U+31</v>
      </c>
      <c r="J18" t="str">
        <f t="shared" si="4"/>
        <v xml:space="preserve">    "1" : # U+31</v>
      </c>
    </row>
    <row r="19" spans="2:10">
      <c r="B19" cm="1">
        <f t="array" ref="B19">IF($A19="",IF(ROW()=1,"",INDEX(B:B,ROW()-1)+1),HEX2DEC($A19))</f>
        <v>50</v>
      </c>
      <c r="C19" t="str">
        <f t="shared" si="0"/>
        <v>110010</v>
      </c>
      <c r="D19">
        <f t="shared" si="1"/>
        <v>3</v>
      </c>
      <c r="E19">
        <v>19</v>
      </c>
      <c r="F19" t="str">
        <f t="shared" si="2"/>
        <v>2</v>
      </c>
      <c r="I19" t="str">
        <f t="shared" si="3"/>
        <v xml:space="preserve">    "2" : # U+32</v>
      </c>
      <c r="J19" t="str">
        <f t="shared" si="4"/>
        <v xml:space="preserve">    "2" : # U+32</v>
      </c>
    </row>
    <row r="20" spans="2:10">
      <c r="B20" cm="1">
        <f t="array" ref="B20">IF($A20="",IF(ROW()=1,"",INDEX(B:B,ROW()-1)+1),HEX2DEC($A20))</f>
        <v>51</v>
      </c>
      <c r="C20" t="str">
        <f t="shared" si="0"/>
        <v>110011</v>
      </c>
      <c r="D20">
        <f t="shared" si="1"/>
        <v>4</v>
      </c>
      <c r="E20">
        <v>20</v>
      </c>
      <c r="F20" t="str">
        <f t="shared" si="2"/>
        <v>3</v>
      </c>
      <c r="I20" t="str">
        <f t="shared" si="3"/>
        <v xml:space="preserve">    "3" : # U+33</v>
      </c>
      <c r="J20" t="str">
        <f t="shared" si="4"/>
        <v xml:space="preserve">    "3" : # U+33</v>
      </c>
    </row>
    <row r="21" spans="2:10">
      <c r="B21" cm="1">
        <f t="array" ref="B21">IF($A21="",IF(ROW()=1,"",INDEX(B:B,ROW()-1)+1),HEX2DEC($A21))</f>
        <v>52</v>
      </c>
      <c r="C21" t="str">
        <f t="shared" si="0"/>
        <v>110100</v>
      </c>
      <c r="D21">
        <f t="shared" si="1"/>
        <v>3</v>
      </c>
      <c r="E21">
        <v>21</v>
      </c>
      <c r="F21" t="str">
        <f t="shared" si="2"/>
        <v>4</v>
      </c>
      <c r="I21" t="str">
        <f t="shared" si="3"/>
        <v xml:space="preserve">    "4" : # U+34</v>
      </c>
      <c r="J21" t="str">
        <f t="shared" si="4"/>
        <v xml:space="preserve">    "4" : # U+34</v>
      </c>
    </row>
    <row r="22" spans="2:10">
      <c r="B22" cm="1">
        <f t="array" ref="B22">IF($A22="",IF(ROW()=1,"",INDEX(B:B,ROW()-1)+1),HEX2DEC($A22))</f>
        <v>53</v>
      </c>
      <c r="C22" t="str">
        <f t="shared" si="0"/>
        <v>110101</v>
      </c>
      <c r="D22">
        <f t="shared" si="1"/>
        <v>4</v>
      </c>
      <c r="E22">
        <v>22</v>
      </c>
      <c r="F22" t="str">
        <f t="shared" si="2"/>
        <v>5</v>
      </c>
      <c r="I22" t="str">
        <f t="shared" si="3"/>
        <v xml:space="preserve">    "5" : # U+35</v>
      </c>
      <c r="J22" t="str">
        <f t="shared" si="4"/>
        <v xml:space="preserve">    "5" : # U+35</v>
      </c>
    </row>
    <row r="23" spans="2:10">
      <c r="B23" cm="1">
        <f t="array" ref="B23">IF($A23="",IF(ROW()=1,"",INDEX(B:B,ROW()-1)+1),HEX2DEC($A23))</f>
        <v>54</v>
      </c>
      <c r="C23" t="str">
        <f t="shared" si="0"/>
        <v>110110</v>
      </c>
      <c r="D23">
        <f t="shared" si="1"/>
        <v>4</v>
      </c>
      <c r="E23">
        <v>23</v>
      </c>
      <c r="F23" t="str">
        <f t="shared" si="2"/>
        <v>6</v>
      </c>
      <c r="I23" t="str">
        <f t="shared" si="3"/>
        <v xml:space="preserve">    "6" : # U+36</v>
      </c>
      <c r="J23" t="str">
        <f t="shared" si="4"/>
        <v xml:space="preserve">    "6" : # U+36</v>
      </c>
    </row>
    <row r="24" spans="2:10">
      <c r="B24" cm="1">
        <f t="array" ref="B24">IF($A24="",IF(ROW()=1,"",INDEX(B:B,ROW()-1)+1),HEX2DEC($A24))</f>
        <v>55</v>
      </c>
      <c r="C24" t="str">
        <f t="shared" si="0"/>
        <v>110111</v>
      </c>
      <c r="D24">
        <f t="shared" si="1"/>
        <v>5</v>
      </c>
      <c r="E24">
        <v>24</v>
      </c>
      <c r="F24" t="str">
        <f t="shared" si="2"/>
        <v>7</v>
      </c>
      <c r="I24" t="str">
        <f t="shared" si="3"/>
        <v xml:space="preserve">    "7" : # U+37</v>
      </c>
      <c r="J24" t="str">
        <f t="shared" si="4"/>
        <v xml:space="preserve">    "7" : # U+37</v>
      </c>
    </row>
    <row r="25" spans="2:10">
      <c r="B25" cm="1">
        <f t="array" ref="B25">IF($A25="",IF(ROW()=1,"",INDEX(B:B,ROW()-1)+1),HEX2DEC($A25))</f>
        <v>56</v>
      </c>
      <c r="C25" t="str">
        <f t="shared" si="0"/>
        <v>111000</v>
      </c>
      <c r="D25">
        <f t="shared" si="1"/>
        <v>3</v>
      </c>
      <c r="E25">
        <v>25</v>
      </c>
      <c r="F25" t="str">
        <f t="shared" si="2"/>
        <v>8</v>
      </c>
      <c r="I25" t="str">
        <f t="shared" si="3"/>
        <v xml:space="preserve">    "8" : # U+38</v>
      </c>
      <c r="J25" t="str">
        <f t="shared" si="4"/>
        <v xml:space="preserve">    "8" : # U+38</v>
      </c>
    </row>
    <row r="26" spans="2:10">
      <c r="B26" cm="1">
        <f t="array" ref="B26">IF($A26="",IF(ROW()=1,"",INDEX(B:B,ROW()-1)+1),HEX2DEC($A26))</f>
        <v>57</v>
      </c>
      <c r="C26" t="str">
        <f t="shared" si="0"/>
        <v>111001</v>
      </c>
      <c r="D26">
        <f t="shared" si="1"/>
        <v>4</v>
      </c>
      <c r="E26">
        <v>26</v>
      </c>
      <c r="F26" t="str">
        <f t="shared" si="2"/>
        <v>9</v>
      </c>
      <c r="I26" t="str">
        <f t="shared" si="3"/>
        <v xml:space="preserve">    "9" : # U+39</v>
      </c>
      <c r="J26" t="str">
        <f t="shared" si="4"/>
        <v xml:space="preserve">    "9" : # U+39</v>
      </c>
    </row>
    <row r="27" spans="2:10">
      <c r="B27" cm="1">
        <f t="array" ref="B27">IF($A27="",IF(ROW()=1,"",INDEX(B:B,ROW()-1)+1),HEX2DEC($A27))</f>
        <v>58</v>
      </c>
      <c r="C27" t="str">
        <f t="shared" si="0"/>
        <v>111010</v>
      </c>
      <c r="D27">
        <f t="shared" si="1"/>
        <v>4</v>
      </c>
      <c r="E27">
        <v>27</v>
      </c>
      <c r="F27" t="str">
        <f t="shared" si="2"/>
        <v>:</v>
      </c>
      <c r="I27" t="str">
        <f t="shared" si="3"/>
        <v xml:space="preserve">    ":" : # U+3A</v>
      </c>
      <c r="J27" t="str">
        <f t="shared" si="4"/>
        <v xml:space="preserve">    ":" : # U+3A</v>
      </c>
    </row>
    <row r="28" spans="2:10">
      <c r="B28" cm="1">
        <f t="array" ref="B28">IF($A28="",IF(ROW()=1,"",INDEX(B:B,ROW()-1)+1),HEX2DEC($A28))</f>
        <v>59</v>
      </c>
      <c r="C28" t="str">
        <f t="shared" si="0"/>
        <v>111011</v>
      </c>
      <c r="D28">
        <f t="shared" si="1"/>
        <v>5</v>
      </c>
      <c r="E28">
        <v>28</v>
      </c>
      <c r="F28" t="str">
        <f t="shared" si="2"/>
        <v>;</v>
      </c>
      <c r="G28">
        <v>2.2000000000000002</v>
      </c>
      <c r="I28" t="str">
        <f t="shared" si="3"/>
        <v xml:space="preserve">    ";" : # U+3B</v>
      </c>
      <c r="J28" t="str">
        <f t="shared" si="4"/>
        <v xml:space="preserve">    ";" : # U+3B</v>
      </c>
    </row>
    <row r="29" spans="2:10">
      <c r="B29" cm="1">
        <f t="array" ref="B29">IF($A29="",IF(ROW()=1,"",INDEX(B:B,ROW()-1)+1),HEX2DEC($A29))</f>
        <v>60</v>
      </c>
      <c r="C29" t="str">
        <f t="shared" si="0"/>
        <v>111100</v>
      </c>
      <c r="D29">
        <f t="shared" si="1"/>
        <v>4</v>
      </c>
      <c r="E29">
        <v>29</v>
      </c>
      <c r="F29" t="str">
        <f t="shared" si="2"/>
        <v>&lt;</v>
      </c>
      <c r="I29" t="str">
        <f t="shared" si="3"/>
        <v xml:space="preserve">    "&lt;" : # U+3C</v>
      </c>
      <c r="J29" t="str">
        <f t="shared" si="4"/>
        <v xml:space="preserve">    "&lt;" : # U+3C</v>
      </c>
    </row>
    <row r="30" spans="2:10">
      <c r="B30" cm="1">
        <f t="array" ref="B30">IF($A30="",IF(ROW()=1,"",INDEX(B:B,ROW()-1)+1),HEX2DEC($A30))</f>
        <v>61</v>
      </c>
      <c r="C30" t="str">
        <f t="shared" si="0"/>
        <v>111101</v>
      </c>
      <c r="D30">
        <f t="shared" si="1"/>
        <v>5</v>
      </c>
      <c r="E30">
        <v>30</v>
      </c>
      <c r="F30" t="str">
        <f t="shared" si="2"/>
        <v>=</v>
      </c>
      <c r="I30" t="str">
        <f t="shared" si="3"/>
        <v xml:space="preserve">    "=" : # U+3D</v>
      </c>
      <c r="J30" t="str">
        <f t="shared" si="4"/>
        <v xml:space="preserve">    "=" : # U+3D</v>
      </c>
    </row>
    <row r="31" spans="2:10">
      <c r="B31" cm="1">
        <f t="array" ref="B31">IF($A31="",IF(ROW()=1,"",INDEX(B:B,ROW()-1)+1),HEX2DEC($A31))</f>
        <v>62</v>
      </c>
      <c r="C31" t="str">
        <f t="shared" si="0"/>
        <v>111110</v>
      </c>
      <c r="D31">
        <f t="shared" si="1"/>
        <v>5</v>
      </c>
      <c r="E31">
        <v>31</v>
      </c>
      <c r="F31" t="str">
        <f t="shared" si="2"/>
        <v>&gt;</v>
      </c>
      <c r="I31" t="str">
        <f t="shared" si="3"/>
        <v xml:space="preserve">    "&gt;" : # U+3E</v>
      </c>
      <c r="J31" t="str">
        <f t="shared" si="4"/>
        <v xml:space="preserve">    "&gt;" : # U+3E</v>
      </c>
    </row>
    <row r="32" spans="2:10">
      <c r="B32" cm="1">
        <f t="array" ref="B32">IF($A32="",IF(ROW()=1,"",INDEX(B:B,ROW()-1)+1),HEX2DEC($A32))</f>
        <v>63</v>
      </c>
      <c r="C32" t="str">
        <f t="shared" si="0"/>
        <v>111111</v>
      </c>
      <c r="D32">
        <f t="shared" si="1"/>
        <v>6</v>
      </c>
      <c r="E32">
        <v>32</v>
      </c>
      <c r="F32" t="str">
        <f t="shared" si="2"/>
        <v>?</v>
      </c>
      <c r="I32" t="str">
        <f t="shared" si="3"/>
        <v xml:space="preserve">    "?" : # U+3F</v>
      </c>
      <c r="J32" t="str">
        <f t="shared" si="4"/>
        <v xml:space="preserve">    "?" : # U+3F</v>
      </c>
    </row>
    <row r="33" spans="2:10">
      <c r="B33" cm="1">
        <f t="array" ref="B33">IF($A33="",IF(ROW()=1,"",INDEX(B:B,ROW()-1)+1),HEX2DEC($A33))</f>
        <v>64</v>
      </c>
      <c r="C33" t="str">
        <f t="shared" si="0"/>
        <v>1000000</v>
      </c>
      <c r="D33">
        <f t="shared" si="1"/>
        <v>1</v>
      </c>
      <c r="E33">
        <v>33</v>
      </c>
      <c r="F33" t="str">
        <f t="shared" si="2"/>
        <v>@</v>
      </c>
      <c r="I33" t="str">
        <f t="shared" si="3"/>
        <v xml:space="preserve">    "@" : # U+40</v>
      </c>
      <c r="J33" t="str">
        <f t="shared" si="4"/>
        <v xml:space="preserve">    "@" : # U+40</v>
      </c>
    </row>
    <row r="34" spans="2:10">
      <c r="B34" cm="1">
        <f t="array" ref="B34">IF($A34="",IF(ROW()=1,"",INDEX(B:B,ROW()-1)+1),HEX2DEC($A34))</f>
        <v>65</v>
      </c>
      <c r="C34" t="str">
        <f t="shared" si="0"/>
        <v>1000001</v>
      </c>
      <c r="D34">
        <f t="shared" si="1"/>
        <v>2</v>
      </c>
      <c r="E34">
        <v>34</v>
      </c>
      <c r="F34" t="str">
        <f t="shared" si="2"/>
        <v>A</v>
      </c>
      <c r="G34">
        <v>2.1</v>
      </c>
      <c r="I34" t="str">
        <f t="shared" ref="I34:I65" si="5">"    "&amp;""""&amp;IF($F34="""","\""",IF($F34="\","\\",$F34))&amp;""""&amp;" : "&amp;$H34&amp;"# U+"&amp;DEC2HEX($B34)</f>
        <v xml:space="preserve">    "A" : # U+41</v>
      </c>
      <c r="J34" t="str">
        <f t="shared" si="4"/>
        <v xml:space="preserve">    "A" : # U+41</v>
      </c>
    </row>
    <row r="35" spans="2:10">
      <c r="B35" cm="1">
        <f t="array" ref="B35">IF($A35="",IF(ROW()=1,"",INDEX(B:B,ROW()-1)+1),HEX2DEC($A35))</f>
        <v>66</v>
      </c>
      <c r="C35" t="str">
        <f t="shared" si="0"/>
        <v>1000010</v>
      </c>
      <c r="D35">
        <f t="shared" si="1"/>
        <v>2</v>
      </c>
      <c r="E35">
        <v>35</v>
      </c>
      <c r="F35" t="str">
        <f t="shared" si="2"/>
        <v>B</v>
      </c>
      <c r="G35">
        <v>2.8</v>
      </c>
      <c r="I35" t="str">
        <f t="shared" si="5"/>
        <v xml:space="preserve">    "B" : # U+42</v>
      </c>
      <c r="J35" t="str">
        <f t="shared" si="4"/>
        <v xml:space="preserve">    "B" : # U+42</v>
      </c>
    </row>
    <row r="36" spans="2:10">
      <c r="B36" cm="1">
        <f t="array" ref="B36">IF($A36="",IF(ROW()=1,"",INDEX(B:B,ROW()-1)+1),HEX2DEC($A36))</f>
        <v>67</v>
      </c>
      <c r="C36" t="str">
        <f t="shared" si="0"/>
        <v>1000011</v>
      </c>
      <c r="D36">
        <f t="shared" si="1"/>
        <v>3</v>
      </c>
      <c r="E36">
        <v>36</v>
      </c>
      <c r="F36" t="str">
        <f t="shared" si="2"/>
        <v>C</v>
      </c>
      <c r="G36">
        <v>2</v>
      </c>
      <c r="I36" t="str">
        <f t="shared" si="5"/>
        <v xml:space="preserve">    "C" : # U+43</v>
      </c>
      <c r="J36" t="str">
        <f t="shared" si="4"/>
        <v xml:space="preserve">    "C" : # U+43</v>
      </c>
    </row>
    <row r="37" spans="2:10">
      <c r="B37" cm="1">
        <f t="array" ref="B37">IF($A37="",IF(ROW()=1,"",INDEX(B:B,ROW()-1)+1),HEX2DEC($A37))</f>
        <v>68</v>
      </c>
      <c r="C37" t="str">
        <f t="shared" si="0"/>
        <v>1000100</v>
      </c>
      <c r="D37">
        <f t="shared" si="1"/>
        <v>2</v>
      </c>
      <c r="E37">
        <v>37</v>
      </c>
      <c r="F37" t="str">
        <f t="shared" si="2"/>
        <v>D</v>
      </c>
      <c r="G37">
        <v>1.2</v>
      </c>
      <c r="I37" t="str">
        <f t="shared" si="5"/>
        <v xml:space="preserve">    "D" : # U+44</v>
      </c>
      <c r="J37" t="str">
        <f t="shared" si="4"/>
        <v xml:space="preserve">    "D" : # U+44</v>
      </c>
    </row>
    <row r="38" spans="2:10">
      <c r="B38" cm="1">
        <f t="array" ref="B38">IF($A38="",IF(ROW()=1,"",INDEX(B:B,ROW()-1)+1),HEX2DEC($A38))</f>
        <v>69</v>
      </c>
      <c r="C38" t="str">
        <f t="shared" si="0"/>
        <v>1000101</v>
      </c>
      <c r="D38">
        <f t="shared" si="1"/>
        <v>3</v>
      </c>
      <c r="E38">
        <v>38</v>
      </c>
      <c r="F38" t="str">
        <f t="shared" si="2"/>
        <v>E</v>
      </c>
      <c r="G38">
        <v>1.4</v>
      </c>
      <c r="I38" t="str">
        <f t="shared" si="5"/>
        <v xml:space="preserve">    "E" : # U+45</v>
      </c>
      <c r="J38" t="str">
        <f t="shared" si="4"/>
        <v xml:space="preserve">    "E" : # U+45</v>
      </c>
    </row>
    <row r="39" spans="2:10">
      <c r="B39" cm="1">
        <f t="array" ref="B39">IF($A39="",IF(ROW()=1,"",INDEX(B:B,ROW()-1)+1),HEX2DEC($A39))</f>
        <v>70</v>
      </c>
      <c r="C39" t="str">
        <f t="shared" si="0"/>
        <v>1000110</v>
      </c>
      <c r="D39">
        <f t="shared" si="1"/>
        <v>3</v>
      </c>
      <c r="E39">
        <v>39</v>
      </c>
      <c r="F39" t="str">
        <f t="shared" si="2"/>
        <v>F</v>
      </c>
      <c r="G39">
        <v>1.1000000000000001</v>
      </c>
      <c r="I39" t="str">
        <f t="shared" si="5"/>
        <v xml:space="preserve">    "F" : # U+46</v>
      </c>
      <c r="J39" t="str">
        <f t="shared" si="4"/>
        <v xml:space="preserve">    "F" : # U+46</v>
      </c>
    </row>
    <row r="40" spans="2:10">
      <c r="B40" cm="1">
        <f t="array" ref="B40">IF($A40="",IF(ROW()=1,"",INDEX(B:B,ROW()-1)+1),HEX2DEC($A40))</f>
        <v>71</v>
      </c>
      <c r="C40" t="str">
        <f t="shared" si="0"/>
        <v>1000111</v>
      </c>
      <c r="D40">
        <f t="shared" si="1"/>
        <v>4</v>
      </c>
      <c r="E40">
        <v>40</v>
      </c>
      <c r="F40" t="str">
        <f t="shared" si="2"/>
        <v>G</v>
      </c>
      <c r="G40">
        <v>1.9</v>
      </c>
      <c r="I40" t="str">
        <f t="shared" si="5"/>
        <v xml:space="preserve">    "G" : # U+47</v>
      </c>
      <c r="J40" t="str">
        <f t="shared" si="4"/>
        <v xml:space="preserve">    "G" : # U+47</v>
      </c>
    </row>
    <row r="41" spans="2:10">
      <c r="B41" cm="1">
        <f t="array" ref="B41">IF($A41="",IF(ROW()=1,"",INDEX(B:B,ROW()-1)+1),HEX2DEC($A41))</f>
        <v>72</v>
      </c>
      <c r="C41" t="str">
        <f t="shared" si="0"/>
        <v>1001000</v>
      </c>
      <c r="D41">
        <f t="shared" si="1"/>
        <v>2</v>
      </c>
      <c r="E41">
        <v>41</v>
      </c>
      <c r="F41" t="str">
        <f t="shared" si="2"/>
        <v>H</v>
      </c>
      <c r="G41">
        <v>1.8</v>
      </c>
      <c r="I41" t="str">
        <f t="shared" si="5"/>
        <v xml:space="preserve">    "H" : # U+48</v>
      </c>
      <c r="J41" t="str">
        <f t="shared" si="4"/>
        <v xml:space="preserve">    "H" : # U+48</v>
      </c>
    </row>
    <row r="42" spans="2:10">
      <c r="B42" cm="1">
        <f t="array" ref="B42">IF($A42="",IF(ROW()=1,"",INDEX(B:B,ROW()-1)+1),HEX2DEC($A42))</f>
        <v>73</v>
      </c>
      <c r="C42" t="str">
        <f t="shared" si="0"/>
        <v>1001001</v>
      </c>
      <c r="D42">
        <f t="shared" si="1"/>
        <v>3</v>
      </c>
      <c r="E42">
        <v>42</v>
      </c>
      <c r="F42" t="str">
        <f t="shared" si="2"/>
        <v>I</v>
      </c>
      <c r="G42">
        <v>1.3</v>
      </c>
      <c r="I42" t="str">
        <f t="shared" si="5"/>
        <v xml:space="preserve">    "I" : # U+49</v>
      </c>
      <c r="J42" t="str">
        <f t="shared" si="4"/>
        <v xml:space="preserve">    "I" : # U+49</v>
      </c>
    </row>
    <row r="43" spans="2:10">
      <c r="B43" cm="1">
        <f t="array" ref="B43">IF($A43="",IF(ROW()=1,"",INDEX(B:B,ROW()-1)+1),HEX2DEC($A43))</f>
        <v>74</v>
      </c>
      <c r="C43" t="str">
        <f t="shared" si="0"/>
        <v>1001010</v>
      </c>
      <c r="D43">
        <f t="shared" si="1"/>
        <v>3</v>
      </c>
      <c r="E43">
        <v>43</v>
      </c>
      <c r="F43" t="str">
        <f t="shared" si="2"/>
        <v>J</v>
      </c>
      <c r="G43">
        <v>1</v>
      </c>
      <c r="I43" t="str">
        <f t="shared" si="5"/>
        <v xml:space="preserve">    "J" : # U+4A</v>
      </c>
      <c r="J43" t="str">
        <f t="shared" si="4"/>
        <v xml:space="preserve">    "J" : # U+4A</v>
      </c>
    </row>
    <row r="44" spans="2:10">
      <c r="B44" cm="1">
        <f t="array" ref="B44">IF($A44="",IF(ROW()=1,"",INDEX(B:B,ROW()-1)+1),HEX2DEC($A44))</f>
        <v>75</v>
      </c>
      <c r="C44" t="str">
        <f t="shared" si="0"/>
        <v>1001011</v>
      </c>
      <c r="D44">
        <f t="shared" si="1"/>
        <v>4</v>
      </c>
      <c r="E44">
        <v>44</v>
      </c>
      <c r="F44" t="str">
        <f t="shared" si="2"/>
        <v>K</v>
      </c>
      <c r="G44">
        <v>1.1000000000000001</v>
      </c>
      <c r="I44" t="str">
        <f t="shared" si="5"/>
        <v xml:space="preserve">    "K" : # U+4B</v>
      </c>
      <c r="J44" t="str">
        <f t="shared" si="4"/>
        <v xml:space="preserve">    "K" : # U+4B</v>
      </c>
    </row>
    <row r="45" spans="2:10">
      <c r="B45" cm="1">
        <f t="array" ref="B45">IF($A45="",IF(ROW()=1,"",INDEX(B:B,ROW()-1)+1),HEX2DEC($A45))</f>
        <v>76</v>
      </c>
      <c r="C45" t="str">
        <f t="shared" si="0"/>
        <v>1001100</v>
      </c>
      <c r="D45">
        <f t="shared" si="1"/>
        <v>3</v>
      </c>
      <c r="E45">
        <v>45</v>
      </c>
      <c r="F45" t="str">
        <f t="shared" si="2"/>
        <v>L</v>
      </c>
      <c r="G45">
        <v>1.4</v>
      </c>
      <c r="I45" t="str">
        <f t="shared" si="5"/>
        <v xml:space="preserve">    "L" : # U+4C</v>
      </c>
      <c r="J45" t="str">
        <f t="shared" si="4"/>
        <v xml:space="preserve">    "L" : # U+4C</v>
      </c>
    </row>
    <row r="46" spans="2:10">
      <c r="B46" cm="1">
        <f t="array" ref="B46">IF($A46="",IF(ROW()=1,"",INDEX(B:B,ROW()-1)+1),HEX2DEC($A46))</f>
        <v>77</v>
      </c>
      <c r="C46" t="str">
        <f t="shared" si="0"/>
        <v>1001101</v>
      </c>
      <c r="D46">
        <f t="shared" si="1"/>
        <v>4</v>
      </c>
      <c r="E46">
        <v>46</v>
      </c>
      <c r="F46" t="str">
        <f t="shared" si="2"/>
        <v>M</v>
      </c>
      <c r="G46">
        <v>1.6</v>
      </c>
      <c r="I46" t="str">
        <f t="shared" si="5"/>
        <v xml:space="preserve">    "M" : # U+4D</v>
      </c>
      <c r="J46" t="str">
        <f t="shared" si="4"/>
        <v xml:space="preserve">    "M" : # U+4D</v>
      </c>
    </row>
    <row r="47" spans="2:10">
      <c r="B47" cm="1">
        <f t="array" ref="B47">IF($A47="",IF(ROW()=1,"",INDEX(B:B,ROW()-1)+1),HEX2DEC($A47))</f>
        <v>78</v>
      </c>
      <c r="C47" t="str">
        <f t="shared" si="0"/>
        <v>1001110</v>
      </c>
      <c r="D47">
        <f t="shared" si="1"/>
        <v>4</v>
      </c>
      <c r="E47">
        <v>47</v>
      </c>
      <c r="F47" t="str">
        <f t="shared" si="2"/>
        <v>N</v>
      </c>
      <c r="G47">
        <v>2.2000000000000002</v>
      </c>
      <c r="I47" t="str">
        <f t="shared" si="5"/>
        <v xml:space="preserve">    "N" : # U+4E</v>
      </c>
      <c r="J47" t="str">
        <f t="shared" si="4"/>
        <v xml:space="preserve">    "N" : # U+4E</v>
      </c>
    </row>
    <row r="48" spans="2:10">
      <c r="B48" cm="1">
        <f t="array" ref="B48">IF($A48="",IF(ROW()=1,"",INDEX(B:B,ROW()-1)+1),HEX2DEC($A48))</f>
        <v>79</v>
      </c>
      <c r="C48" t="str">
        <f t="shared" si="0"/>
        <v>1001111</v>
      </c>
      <c r="D48">
        <f t="shared" si="1"/>
        <v>5</v>
      </c>
      <c r="E48">
        <v>48</v>
      </c>
      <c r="F48" t="str">
        <f t="shared" si="2"/>
        <v>O</v>
      </c>
      <c r="G48">
        <v>1.5</v>
      </c>
      <c r="I48" t="str">
        <f t="shared" si="5"/>
        <v xml:space="preserve">    "O" : # U+4F</v>
      </c>
      <c r="J48" t="str">
        <f t="shared" si="4"/>
        <v xml:space="preserve">    "O" : # U+4F</v>
      </c>
    </row>
    <row r="49" spans="2:10">
      <c r="B49" cm="1">
        <f t="array" ref="B49">IF($A49="",IF(ROW()=1,"",INDEX(B:B,ROW()-1)+1),HEX2DEC($A49))</f>
        <v>80</v>
      </c>
      <c r="C49" t="str">
        <f t="shared" si="0"/>
        <v>1010000</v>
      </c>
      <c r="D49">
        <f t="shared" si="1"/>
        <v>2</v>
      </c>
      <c r="E49">
        <v>49</v>
      </c>
      <c r="F49" t="str">
        <f t="shared" si="2"/>
        <v>P</v>
      </c>
      <c r="G49">
        <v>2.5</v>
      </c>
      <c r="I49" t="str">
        <f t="shared" si="5"/>
        <v xml:space="preserve">    "P" : # U+50</v>
      </c>
      <c r="J49" t="str">
        <f t="shared" si="4"/>
        <v xml:space="preserve">    "P" : # U+50</v>
      </c>
    </row>
    <row r="50" spans="2:10">
      <c r="B50" cm="1">
        <f t="array" ref="B50">IF($A50="",IF(ROW()=1,"",INDEX(B:B,ROW()-1)+1),HEX2DEC($A50))</f>
        <v>81</v>
      </c>
      <c r="C50" t="str">
        <f t="shared" si="0"/>
        <v>1010001</v>
      </c>
      <c r="D50">
        <f t="shared" si="1"/>
        <v>3</v>
      </c>
      <c r="E50">
        <v>50</v>
      </c>
      <c r="F50" t="str">
        <f t="shared" si="2"/>
        <v>Q</v>
      </c>
      <c r="G50">
        <v>3</v>
      </c>
      <c r="I50" t="str">
        <f t="shared" si="5"/>
        <v xml:space="preserve">    "Q" : # U+51</v>
      </c>
      <c r="J50" t="str">
        <f t="shared" si="4"/>
        <v xml:space="preserve">    "Q" : # U+51</v>
      </c>
    </row>
    <row r="51" spans="2:10">
      <c r="B51" cm="1">
        <f t="array" ref="B51">IF($A51="",IF(ROW()=1,"",INDEX(B:B,ROW()-1)+1),HEX2DEC($A51))</f>
        <v>82</v>
      </c>
      <c r="C51" t="str">
        <f t="shared" si="0"/>
        <v>1010010</v>
      </c>
      <c r="D51">
        <f t="shared" si="1"/>
        <v>3</v>
      </c>
      <c r="E51">
        <v>51</v>
      </c>
      <c r="F51" t="str">
        <f t="shared" si="2"/>
        <v>R</v>
      </c>
      <c r="G51">
        <v>1.3</v>
      </c>
      <c r="I51" t="str">
        <f t="shared" si="5"/>
        <v xml:space="preserve">    "R" : # U+52</v>
      </c>
      <c r="J51" t="str">
        <f t="shared" si="4"/>
        <v xml:space="preserve">    "R" : # U+52</v>
      </c>
    </row>
    <row r="52" spans="2:10">
      <c r="B52" cm="1">
        <f t="array" ref="B52">IF($A52="",IF(ROW()=1,"",INDEX(B:B,ROW()-1)+1),HEX2DEC($A52))</f>
        <v>83</v>
      </c>
      <c r="C52" t="str">
        <f t="shared" si="0"/>
        <v>1010011</v>
      </c>
      <c r="D52">
        <f t="shared" si="1"/>
        <v>4</v>
      </c>
      <c r="E52">
        <v>52</v>
      </c>
      <c r="F52" t="str">
        <f t="shared" si="2"/>
        <v>S</v>
      </c>
      <c r="G52">
        <v>1.5</v>
      </c>
      <c r="I52" t="str">
        <f t="shared" si="5"/>
        <v xml:space="preserve">    "S" : # U+53</v>
      </c>
      <c r="J52" t="str">
        <f t="shared" si="4"/>
        <v xml:space="preserve">    "S" : # U+53</v>
      </c>
    </row>
    <row r="53" spans="2:10">
      <c r="B53" cm="1">
        <f t="array" ref="B53">IF($A53="",IF(ROW()=1,"",INDEX(B:B,ROW()-1)+1),HEX2DEC($A53))</f>
        <v>84</v>
      </c>
      <c r="C53" t="str">
        <f t="shared" si="0"/>
        <v>1010100</v>
      </c>
      <c r="D53">
        <f t="shared" si="1"/>
        <v>3</v>
      </c>
      <c r="E53">
        <v>53</v>
      </c>
      <c r="F53" t="str">
        <f t="shared" si="2"/>
        <v>T</v>
      </c>
      <c r="G53">
        <v>2.5</v>
      </c>
      <c r="I53" t="str">
        <f t="shared" si="5"/>
        <v xml:space="preserve">    "T" : # U+54</v>
      </c>
      <c r="J53" t="str">
        <f t="shared" si="4"/>
        <v xml:space="preserve">    "T" : # U+54</v>
      </c>
    </row>
    <row r="54" spans="2:10">
      <c r="B54" cm="1">
        <f t="array" ref="B54">IF($A54="",IF(ROW()=1,"",INDEX(B:B,ROW()-1)+1),HEX2DEC($A54))</f>
        <v>85</v>
      </c>
      <c r="C54" t="str">
        <f t="shared" si="0"/>
        <v>1010101</v>
      </c>
      <c r="D54">
        <f t="shared" si="1"/>
        <v>4</v>
      </c>
      <c r="E54">
        <v>54</v>
      </c>
      <c r="F54" t="str">
        <f t="shared" si="2"/>
        <v>U</v>
      </c>
      <c r="G54">
        <v>1.2</v>
      </c>
      <c r="I54" t="str">
        <f t="shared" si="5"/>
        <v xml:space="preserve">    "U" : # U+55</v>
      </c>
      <c r="J54" t="str">
        <f t="shared" si="4"/>
        <v xml:space="preserve">    "U" : # U+55</v>
      </c>
    </row>
    <row r="55" spans="2:10">
      <c r="B55" cm="1">
        <f t="array" ref="B55">IF($A55="",IF(ROW()=1,"",INDEX(B:B,ROW()-1)+1),HEX2DEC($A55))</f>
        <v>86</v>
      </c>
      <c r="C55" t="str">
        <f t="shared" si="0"/>
        <v>1010110</v>
      </c>
      <c r="D55">
        <f t="shared" si="1"/>
        <v>4</v>
      </c>
      <c r="E55">
        <v>55</v>
      </c>
      <c r="F55" t="str">
        <f t="shared" si="2"/>
        <v>V</v>
      </c>
      <c r="G55">
        <v>1.9</v>
      </c>
      <c r="I55" t="str">
        <f t="shared" si="5"/>
        <v xml:space="preserve">    "V" : # U+56</v>
      </c>
      <c r="J55" t="str">
        <f t="shared" si="4"/>
        <v xml:space="preserve">    "V" : # U+56</v>
      </c>
    </row>
    <row r="56" spans="2:10">
      <c r="B56" cm="1">
        <f t="array" ref="B56">IF($A56="",IF(ROW()=1,"",INDEX(B:B,ROW()-1)+1),HEX2DEC($A56))</f>
        <v>87</v>
      </c>
      <c r="C56" t="str">
        <f t="shared" si="0"/>
        <v>1010111</v>
      </c>
      <c r="D56">
        <f t="shared" si="1"/>
        <v>5</v>
      </c>
      <c r="E56">
        <v>56</v>
      </c>
      <c r="F56" t="str">
        <f t="shared" si="2"/>
        <v>W</v>
      </c>
      <c r="G56">
        <v>1.6</v>
      </c>
      <c r="I56" t="str">
        <f t="shared" si="5"/>
        <v xml:space="preserve">    "W" : # U+57</v>
      </c>
      <c r="J56" t="str">
        <f t="shared" si="4"/>
        <v xml:space="preserve">    "W" : # U+57</v>
      </c>
    </row>
    <row r="57" spans="2:10">
      <c r="B57" cm="1">
        <f t="array" ref="B57">IF($A57="",IF(ROW()=1,"",INDEX(B:B,ROW()-1)+1),HEX2DEC($A57))</f>
        <v>88</v>
      </c>
      <c r="C57" t="str">
        <f t="shared" si="0"/>
        <v>1011000</v>
      </c>
      <c r="D57">
        <f t="shared" si="1"/>
        <v>3</v>
      </c>
      <c r="E57">
        <v>57</v>
      </c>
      <c r="F57" t="str">
        <f t="shared" si="2"/>
        <v>X</v>
      </c>
      <c r="G57">
        <v>2.6</v>
      </c>
      <c r="I57" t="str">
        <f t="shared" si="5"/>
        <v xml:space="preserve">    "X" : # U+58</v>
      </c>
      <c r="J57" t="str">
        <f t="shared" si="4"/>
        <v xml:space="preserve">    "X" : # U+58</v>
      </c>
    </row>
    <row r="58" spans="2:10">
      <c r="B58" cm="1">
        <f t="array" ref="B58">IF($A58="",IF(ROW()=1,"",INDEX(B:B,ROW()-1)+1),HEX2DEC($A58))</f>
        <v>89</v>
      </c>
      <c r="C58" t="str">
        <f t="shared" si="0"/>
        <v>1011001</v>
      </c>
      <c r="D58">
        <f t="shared" si="1"/>
        <v>4</v>
      </c>
      <c r="E58">
        <v>58</v>
      </c>
      <c r="F58" t="str">
        <f t="shared" si="2"/>
        <v>Y</v>
      </c>
      <c r="G58">
        <v>2.2000000000000002</v>
      </c>
      <c r="I58" t="str">
        <f t="shared" si="5"/>
        <v xml:space="preserve">    "Y" : # U+59</v>
      </c>
      <c r="J58" t="str">
        <f t="shared" si="4"/>
        <v xml:space="preserve">    "Y" : # U+59</v>
      </c>
    </row>
    <row r="59" spans="2:10">
      <c r="B59" cm="1">
        <f t="array" ref="B59">IF($A59="",IF(ROW()=1,"",INDEX(B:B,ROW()-1)+1),HEX2DEC($A59))</f>
        <v>90</v>
      </c>
      <c r="C59" t="str">
        <f t="shared" si="0"/>
        <v>1011010</v>
      </c>
      <c r="D59">
        <f t="shared" si="1"/>
        <v>4</v>
      </c>
      <c r="E59">
        <v>59</v>
      </c>
      <c r="F59" t="str">
        <f t="shared" si="2"/>
        <v>Z</v>
      </c>
      <c r="G59">
        <v>3.5</v>
      </c>
      <c r="I59" t="str">
        <f t="shared" si="5"/>
        <v xml:space="preserve">    "Z" : # U+5A</v>
      </c>
      <c r="J59" t="str">
        <f t="shared" si="4"/>
        <v xml:space="preserve">    "Z" : # U+5A</v>
      </c>
    </row>
    <row r="60" spans="2:10">
      <c r="B60" cm="1">
        <f t="array" ref="B60">IF($A60="",IF(ROW()=1,"",INDEX(B:B,ROW()-1)+1),HEX2DEC($A60))</f>
        <v>91</v>
      </c>
      <c r="C60" t="str">
        <f t="shared" si="0"/>
        <v>1011011</v>
      </c>
      <c r="D60">
        <f t="shared" si="1"/>
        <v>5</v>
      </c>
      <c r="E60">
        <v>60</v>
      </c>
      <c r="F60" t="str">
        <f t="shared" si="2"/>
        <v>[</v>
      </c>
      <c r="G60">
        <v>3.3</v>
      </c>
      <c r="I60" t="str">
        <f t="shared" si="5"/>
        <v xml:space="preserve">    "[" : # U+5B</v>
      </c>
      <c r="J60" t="str">
        <f t="shared" si="4"/>
        <v xml:space="preserve">    "[" : # U+5B</v>
      </c>
    </row>
    <row r="61" spans="2:10">
      <c r="B61" cm="1">
        <f t="array" ref="B61">IF($A61="",IF(ROW()=1,"",INDEX(B:B,ROW()-1)+1),HEX2DEC($A61))</f>
        <v>92</v>
      </c>
      <c r="C61" t="str">
        <f t="shared" si="0"/>
        <v>1011100</v>
      </c>
      <c r="D61">
        <f t="shared" si="1"/>
        <v>4</v>
      </c>
      <c r="E61">
        <v>61</v>
      </c>
      <c r="F61" t="str">
        <f t="shared" si="2"/>
        <v>\</v>
      </c>
      <c r="I61" t="str">
        <f t="shared" si="5"/>
        <v xml:space="preserve">    "\\" : # U+5C</v>
      </c>
      <c r="J61" t="str">
        <f t="shared" si="4"/>
        <v xml:space="preserve">    "\\" : # U+5C</v>
      </c>
    </row>
    <row r="62" spans="2:10">
      <c r="B62" cm="1">
        <f t="array" ref="B62">IF($A62="",IF(ROW()=1,"",INDEX(B:B,ROW()-1)+1),HEX2DEC($A62))</f>
        <v>93</v>
      </c>
      <c r="C62" t="str">
        <f t="shared" si="0"/>
        <v>1011101</v>
      </c>
      <c r="D62">
        <f t="shared" si="1"/>
        <v>5</v>
      </c>
      <c r="E62">
        <v>62</v>
      </c>
      <c r="F62" t="str">
        <f t="shared" si="2"/>
        <v>]</v>
      </c>
      <c r="G62">
        <v>3.5</v>
      </c>
      <c r="I62" t="str">
        <f t="shared" si="5"/>
        <v xml:space="preserve">    "]" : # U+5D</v>
      </c>
      <c r="J62" t="str">
        <f t="shared" si="4"/>
        <v xml:space="preserve">    "]" : # U+5D</v>
      </c>
    </row>
    <row r="63" spans="2:10">
      <c r="B63" cm="1">
        <f t="array" ref="B63">IF($A63="",IF(ROW()=1,"",INDEX(B:B,ROW()-1)+1),HEX2DEC($A63))</f>
        <v>94</v>
      </c>
      <c r="C63" t="str">
        <f t="shared" si="0"/>
        <v>1011110</v>
      </c>
      <c r="D63">
        <f t="shared" si="1"/>
        <v>5</v>
      </c>
      <c r="E63">
        <v>63</v>
      </c>
      <c r="F63" t="str">
        <f t="shared" si="2"/>
        <v>^</v>
      </c>
      <c r="I63" t="str">
        <f t="shared" si="5"/>
        <v xml:space="preserve">    "^" : # U+5E</v>
      </c>
      <c r="J63" t="str">
        <f t="shared" si="4"/>
        <v xml:space="preserve">    "^" : # U+5E</v>
      </c>
    </row>
    <row r="64" spans="2:10">
      <c r="B64" cm="1">
        <f t="array" ref="B64">IF($A64="",IF(ROW()=1,"",INDEX(B:B,ROW()-1)+1),HEX2DEC($A64))</f>
        <v>95</v>
      </c>
      <c r="C64" t="str">
        <f t="shared" si="0"/>
        <v>1011111</v>
      </c>
      <c r="D64">
        <f t="shared" si="1"/>
        <v>6</v>
      </c>
      <c r="E64">
        <v>64</v>
      </c>
      <c r="F64" t="str">
        <f t="shared" si="2"/>
        <v>_</v>
      </c>
      <c r="I64" t="str">
        <f t="shared" si="5"/>
        <v xml:space="preserve">    "_" : # U+5F</v>
      </c>
      <c r="J64" t="str">
        <f t="shared" si="4"/>
        <v xml:space="preserve">    "_" : # U+5F</v>
      </c>
    </row>
    <row r="65" spans="2:10">
      <c r="B65" cm="1">
        <f t="array" ref="B65">IF($A65="",IF(ROW()=1,"",INDEX(B:B,ROW()-1)+1),HEX2DEC($A65))</f>
        <v>96</v>
      </c>
      <c r="C65" t="str">
        <f t="shared" si="0"/>
        <v>1100000</v>
      </c>
      <c r="D65">
        <f t="shared" si="1"/>
        <v>2</v>
      </c>
      <c r="E65">
        <v>65</v>
      </c>
      <c r="F65" t="str">
        <f t="shared" si="2"/>
        <v>`</v>
      </c>
      <c r="I65" t="str">
        <f t="shared" si="5"/>
        <v xml:space="preserve">    "`" : # U+60</v>
      </c>
      <c r="J65" t="str">
        <f t="shared" si="4"/>
        <v xml:space="preserve">    "`" : # U+60</v>
      </c>
    </row>
    <row r="66" spans="2:10">
      <c r="B66" cm="1">
        <f t="array" ref="B66">IF($A66="",IF(ROW()=1,"",INDEX(B:B,ROW()-1)+1),HEX2DEC($A66))</f>
        <v>97</v>
      </c>
      <c r="C66" t="str">
        <f t="shared" ref="C66:C95" si="6">DEC2BIN($B66)</f>
        <v>1100001</v>
      </c>
      <c r="D66">
        <f t="shared" ref="D66:D95" si="7">LEN($C66)-LEN(SUBSTITUTE($C66,"1",""))</f>
        <v>3</v>
      </c>
      <c r="E66">
        <v>66</v>
      </c>
      <c r="F66" t="str">
        <f t="shared" ref="F66:F95" si="8">_xlfn.UNICHAR($B66)</f>
        <v>a</v>
      </c>
      <c r="I66" t="str">
        <f t="shared" ref="I66:I95" si="9">"    "&amp;""""&amp;IF($F66="""","\""",IF($F66="\","\\",$F66))&amp;""""&amp;" : "&amp;$H66&amp;"# U+"&amp;DEC2HEX($B66)</f>
        <v xml:space="preserve">    "a" : # U+61</v>
      </c>
      <c r="J66" t="str">
        <f t="shared" ref="J66:J95" si="10">"    "&amp;""""&amp;IF($F66="""","\""",IF($F66="\","\\",$F66))&amp;""""&amp;" : "&amp;$H66&amp;"# U+"&amp;DEC2HEX($B66)</f>
        <v xml:space="preserve">    "a" : # U+61</v>
      </c>
    </row>
    <row r="67" spans="2:10">
      <c r="B67" cm="1">
        <f t="array" ref="B67">IF($A67="",IF(ROW()=1,"",INDEX(B:B,ROW()-1)+1),HEX2DEC($A67))</f>
        <v>98</v>
      </c>
      <c r="C67" t="str">
        <f t="shared" si="6"/>
        <v>1100010</v>
      </c>
      <c r="D67">
        <f t="shared" si="7"/>
        <v>3</v>
      </c>
      <c r="E67">
        <v>67</v>
      </c>
      <c r="F67" t="str">
        <f t="shared" si="8"/>
        <v>b</v>
      </c>
      <c r="I67" t="str">
        <f t="shared" si="9"/>
        <v xml:space="preserve">    "b" : # U+62</v>
      </c>
      <c r="J67" t="str">
        <f t="shared" si="10"/>
        <v xml:space="preserve">    "b" : # U+62</v>
      </c>
    </row>
    <row r="68" spans="2:10">
      <c r="B68" cm="1">
        <f t="array" ref="B68">IF($A68="",IF(ROW()=1,"",INDEX(B:B,ROW()-1)+1),HEX2DEC($A68))</f>
        <v>99</v>
      </c>
      <c r="C68" t="str">
        <f t="shared" si="6"/>
        <v>1100011</v>
      </c>
      <c r="D68">
        <f t="shared" si="7"/>
        <v>4</v>
      </c>
      <c r="E68">
        <v>68</v>
      </c>
      <c r="F68" t="str">
        <f t="shared" si="8"/>
        <v>c</v>
      </c>
      <c r="I68" t="str">
        <f t="shared" si="9"/>
        <v xml:space="preserve">    "c" : # U+63</v>
      </c>
      <c r="J68" t="str">
        <f t="shared" si="10"/>
        <v xml:space="preserve">    "c" : # U+63</v>
      </c>
    </row>
    <row r="69" spans="2:10">
      <c r="B69" cm="1">
        <f t="array" ref="B69">IF($A69="",IF(ROW()=1,"",INDEX(B:B,ROW()-1)+1),HEX2DEC($A69))</f>
        <v>100</v>
      </c>
      <c r="C69" t="str">
        <f t="shared" si="6"/>
        <v>1100100</v>
      </c>
      <c r="D69">
        <f t="shared" si="7"/>
        <v>3</v>
      </c>
      <c r="E69">
        <v>69</v>
      </c>
      <c r="F69" t="str">
        <f t="shared" si="8"/>
        <v>d</v>
      </c>
      <c r="I69" t="str">
        <f t="shared" si="9"/>
        <v xml:space="preserve">    "d" : # U+64</v>
      </c>
      <c r="J69" t="str">
        <f t="shared" si="10"/>
        <v xml:space="preserve">    "d" : # U+64</v>
      </c>
    </row>
    <row r="70" spans="2:10">
      <c r="B70" cm="1">
        <f t="array" ref="B70">IF($A70="",IF(ROW()=1,"",INDEX(B:B,ROW()-1)+1),HEX2DEC($A70))</f>
        <v>101</v>
      </c>
      <c r="C70" t="str">
        <f t="shared" si="6"/>
        <v>1100101</v>
      </c>
      <c r="D70">
        <f t="shared" si="7"/>
        <v>4</v>
      </c>
      <c r="E70">
        <v>70</v>
      </c>
      <c r="F70" t="str">
        <f t="shared" si="8"/>
        <v>e</v>
      </c>
      <c r="I70" t="str">
        <f t="shared" si="9"/>
        <v xml:space="preserve">    "e" : # U+65</v>
      </c>
      <c r="J70" t="str">
        <f t="shared" si="10"/>
        <v xml:space="preserve">    "e" : # U+65</v>
      </c>
    </row>
    <row r="71" spans="2:10">
      <c r="B71" cm="1">
        <f t="array" ref="B71">IF($A71="",IF(ROW()=1,"",INDEX(B:B,ROW()-1)+1),HEX2DEC($A71))</f>
        <v>102</v>
      </c>
      <c r="C71" t="str">
        <f t="shared" si="6"/>
        <v>1100110</v>
      </c>
      <c r="D71">
        <f t="shared" si="7"/>
        <v>4</v>
      </c>
      <c r="E71">
        <v>71</v>
      </c>
      <c r="F71" t="str">
        <f t="shared" si="8"/>
        <v>f</v>
      </c>
      <c r="I71" t="str">
        <f t="shared" si="9"/>
        <v xml:space="preserve">    "f" : # U+66</v>
      </c>
      <c r="J71" t="str">
        <f t="shared" si="10"/>
        <v xml:space="preserve">    "f" : # U+66</v>
      </c>
    </row>
    <row r="72" spans="2:10">
      <c r="B72" cm="1">
        <f t="array" ref="B72">IF($A72="",IF(ROW()=1,"",INDEX(B:B,ROW()-1)+1),HEX2DEC($A72))</f>
        <v>103</v>
      </c>
      <c r="C72" t="str">
        <f t="shared" si="6"/>
        <v>1100111</v>
      </c>
      <c r="D72">
        <f t="shared" si="7"/>
        <v>5</v>
      </c>
      <c r="E72">
        <v>72</v>
      </c>
      <c r="F72" t="str">
        <f t="shared" si="8"/>
        <v>g</v>
      </c>
      <c r="I72" t="str">
        <f t="shared" si="9"/>
        <v xml:space="preserve">    "g" : # U+67</v>
      </c>
      <c r="J72" t="str">
        <f t="shared" si="10"/>
        <v xml:space="preserve">    "g" : # U+67</v>
      </c>
    </row>
    <row r="73" spans="2:10">
      <c r="B73" cm="1">
        <f t="array" ref="B73">IF($A73="",IF(ROW()=1,"",INDEX(B:B,ROW()-1)+1),HEX2DEC($A73))</f>
        <v>104</v>
      </c>
      <c r="C73" t="str">
        <f t="shared" si="6"/>
        <v>1101000</v>
      </c>
      <c r="D73">
        <f t="shared" si="7"/>
        <v>3</v>
      </c>
      <c r="E73">
        <v>73</v>
      </c>
      <c r="F73" t="str">
        <f t="shared" si="8"/>
        <v>h</v>
      </c>
      <c r="I73" t="str">
        <f t="shared" si="9"/>
        <v xml:space="preserve">    "h" : # U+68</v>
      </c>
      <c r="J73" t="str">
        <f t="shared" si="10"/>
        <v xml:space="preserve">    "h" : # U+68</v>
      </c>
    </row>
    <row r="74" spans="2:10">
      <c r="B74" cm="1">
        <f t="array" ref="B74">IF($A74="",IF(ROW()=1,"",INDEX(B:B,ROW()-1)+1),HEX2DEC($A74))</f>
        <v>105</v>
      </c>
      <c r="C74" t="str">
        <f t="shared" si="6"/>
        <v>1101001</v>
      </c>
      <c r="D74">
        <f t="shared" si="7"/>
        <v>4</v>
      </c>
      <c r="E74">
        <v>74</v>
      </c>
      <c r="F74" t="str">
        <f t="shared" si="8"/>
        <v>i</v>
      </c>
      <c r="I74" t="str">
        <f t="shared" si="9"/>
        <v xml:space="preserve">    "i" : # U+69</v>
      </c>
      <c r="J74" t="str">
        <f t="shared" si="10"/>
        <v xml:space="preserve">    "i" : # U+69</v>
      </c>
    </row>
    <row r="75" spans="2:10">
      <c r="B75" cm="1">
        <f t="array" ref="B75">IF($A75="",IF(ROW()=1,"",INDEX(B:B,ROW()-1)+1),HEX2DEC($A75))</f>
        <v>106</v>
      </c>
      <c r="C75" t="str">
        <f t="shared" si="6"/>
        <v>1101010</v>
      </c>
      <c r="D75">
        <f t="shared" si="7"/>
        <v>4</v>
      </c>
      <c r="E75">
        <v>75</v>
      </c>
      <c r="F75" t="str">
        <f t="shared" si="8"/>
        <v>j</v>
      </c>
      <c r="I75" t="str">
        <f t="shared" si="9"/>
        <v xml:space="preserve">    "j" : # U+6A</v>
      </c>
      <c r="J75" t="str">
        <f t="shared" si="10"/>
        <v xml:space="preserve">    "j" : # U+6A</v>
      </c>
    </row>
    <row r="76" spans="2:10">
      <c r="B76" cm="1">
        <f t="array" ref="B76">IF($A76="",IF(ROW()=1,"",INDEX(B:B,ROW()-1)+1),HEX2DEC($A76))</f>
        <v>107</v>
      </c>
      <c r="C76" t="str">
        <f t="shared" si="6"/>
        <v>1101011</v>
      </c>
      <c r="D76">
        <f t="shared" si="7"/>
        <v>5</v>
      </c>
      <c r="E76">
        <v>76</v>
      </c>
      <c r="F76" t="str">
        <f t="shared" si="8"/>
        <v>k</v>
      </c>
      <c r="I76" t="str">
        <f t="shared" si="9"/>
        <v xml:space="preserve">    "k" : # U+6B</v>
      </c>
      <c r="J76" t="str">
        <f t="shared" si="10"/>
        <v xml:space="preserve">    "k" : # U+6B</v>
      </c>
    </row>
    <row r="77" spans="2:10">
      <c r="B77" cm="1">
        <f t="array" ref="B77">IF($A77="",IF(ROW()=1,"",INDEX(B:B,ROW()-1)+1),HEX2DEC($A77))</f>
        <v>108</v>
      </c>
      <c r="C77" t="str">
        <f t="shared" si="6"/>
        <v>1101100</v>
      </c>
      <c r="D77">
        <f t="shared" si="7"/>
        <v>4</v>
      </c>
      <c r="E77">
        <v>77</v>
      </c>
      <c r="F77" t="str">
        <f t="shared" si="8"/>
        <v>l</v>
      </c>
      <c r="I77" t="str">
        <f t="shared" si="9"/>
        <v xml:space="preserve">    "l" : # U+6C</v>
      </c>
      <c r="J77" t="str">
        <f t="shared" si="10"/>
        <v xml:space="preserve">    "l" : # U+6C</v>
      </c>
    </row>
    <row r="78" spans="2:10">
      <c r="B78" cm="1">
        <f t="array" ref="B78">IF($A78="",IF(ROW()=1,"",INDEX(B:B,ROW()-1)+1),HEX2DEC($A78))</f>
        <v>109</v>
      </c>
      <c r="C78" t="str">
        <f t="shared" si="6"/>
        <v>1101101</v>
      </c>
      <c r="D78">
        <f t="shared" si="7"/>
        <v>5</v>
      </c>
      <c r="E78">
        <v>78</v>
      </c>
      <c r="F78" t="str">
        <f t="shared" si="8"/>
        <v>m</v>
      </c>
      <c r="I78" t="str">
        <f t="shared" si="9"/>
        <v xml:space="preserve">    "m" : # U+6D</v>
      </c>
      <c r="J78" t="str">
        <f t="shared" si="10"/>
        <v xml:space="preserve">    "m" : # U+6D</v>
      </c>
    </row>
    <row r="79" spans="2:10">
      <c r="B79" cm="1">
        <f t="array" ref="B79">IF($A79="",IF(ROW()=1,"",INDEX(B:B,ROW()-1)+1),HEX2DEC($A79))</f>
        <v>110</v>
      </c>
      <c r="C79" t="str">
        <f t="shared" si="6"/>
        <v>1101110</v>
      </c>
      <c r="D79">
        <f t="shared" si="7"/>
        <v>5</v>
      </c>
      <c r="E79">
        <v>79</v>
      </c>
      <c r="F79" t="str">
        <f t="shared" si="8"/>
        <v>n</v>
      </c>
      <c r="I79" t="str">
        <f t="shared" si="9"/>
        <v xml:space="preserve">    "n" : # U+6E</v>
      </c>
      <c r="J79" t="str">
        <f t="shared" si="10"/>
        <v xml:space="preserve">    "n" : # U+6E</v>
      </c>
    </row>
    <row r="80" spans="2:10">
      <c r="B80" cm="1">
        <f t="array" ref="B80">IF($A80="",IF(ROW()=1,"",INDEX(B:B,ROW()-1)+1),HEX2DEC($A80))</f>
        <v>111</v>
      </c>
      <c r="C80" t="str">
        <f t="shared" si="6"/>
        <v>1101111</v>
      </c>
      <c r="D80">
        <f t="shared" si="7"/>
        <v>6</v>
      </c>
      <c r="E80">
        <v>80</v>
      </c>
      <c r="F80" t="str">
        <f t="shared" si="8"/>
        <v>o</v>
      </c>
      <c r="I80" t="str">
        <f t="shared" si="9"/>
        <v xml:space="preserve">    "o" : # U+6F</v>
      </c>
      <c r="J80" t="str">
        <f t="shared" si="10"/>
        <v xml:space="preserve">    "o" : # U+6F</v>
      </c>
    </row>
    <row r="81" spans="2:10">
      <c r="B81" cm="1">
        <f t="array" ref="B81">IF($A81="",IF(ROW()=1,"",INDEX(B:B,ROW()-1)+1),HEX2DEC($A81))</f>
        <v>112</v>
      </c>
      <c r="C81" t="str">
        <f t="shared" si="6"/>
        <v>1110000</v>
      </c>
      <c r="D81">
        <f t="shared" si="7"/>
        <v>3</v>
      </c>
      <c r="E81">
        <v>81</v>
      </c>
      <c r="F81" t="str">
        <f t="shared" si="8"/>
        <v>p</v>
      </c>
      <c r="I81" t="str">
        <f t="shared" si="9"/>
        <v xml:space="preserve">    "p" : # U+70</v>
      </c>
      <c r="J81" t="str">
        <f t="shared" si="10"/>
        <v xml:space="preserve">    "p" : # U+70</v>
      </c>
    </row>
    <row r="82" spans="2:10">
      <c r="B82" cm="1">
        <f t="array" ref="B82">IF($A82="",IF(ROW()=1,"",INDEX(B:B,ROW()-1)+1),HEX2DEC($A82))</f>
        <v>113</v>
      </c>
      <c r="C82" t="str">
        <f t="shared" si="6"/>
        <v>1110001</v>
      </c>
      <c r="D82">
        <f t="shared" si="7"/>
        <v>4</v>
      </c>
      <c r="E82">
        <v>82</v>
      </c>
      <c r="F82" t="str">
        <f t="shared" si="8"/>
        <v>q</v>
      </c>
      <c r="I82" t="str">
        <f t="shared" si="9"/>
        <v xml:space="preserve">    "q" : # U+71</v>
      </c>
      <c r="J82" t="str">
        <f t="shared" si="10"/>
        <v xml:space="preserve">    "q" : # U+71</v>
      </c>
    </row>
    <row r="83" spans="2:10">
      <c r="B83" cm="1">
        <f t="array" ref="B83">IF($A83="",IF(ROW()=1,"",INDEX(B:B,ROW()-1)+1),HEX2DEC($A83))</f>
        <v>114</v>
      </c>
      <c r="C83" t="str">
        <f t="shared" si="6"/>
        <v>1110010</v>
      </c>
      <c r="D83">
        <f t="shared" si="7"/>
        <v>4</v>
      </c>
      <c r="E83">
        <v>83</v>
      </c>
      <c r="F83" t="str">
        <f t="shared" si="8"/>
        <v>r</v>
      </c>
      <c r="I83" t="str">
        <f t="shared" si="9"/>
        <v xml:space="preserve">    "r" : # U+72</v>
      </c>
      <c r="J83" t="str">
        <f t="shared" si="10"/>
        <v xml:space="preserve">    "r" : # U+72</v>
      </c>
    </row>
    <row r="84" spans="2:10">
      <c r="B84" cm="1">
        <f t="array" ref="B84">IF($A84="",IF(ROW()=1,"",INDEX(B:B,ROW()-1)+1),HEX2DEC($A84))</f>
        <v>115</v>
      </c>
      <c r="C84" t="str">
        <f t="shared" si="6"/>
        <v>1110011</v>
      </c>
      <c r="D84">
        <f t="shared" si="7"/>
        <v>5</v>
      </c>
      <c r="E84">
        <v>84</v>
      </c>
      <c r="F84" t="str">
        <f t="shared" si="8"/>
        <v>s</v>
      </c>
      <c r="I84" t="str">
        <f t="shared" si="9"/>
        <v xml:space="preserve">    "s" : # U+73</v>
      </c>
      <c r="J84" t="str">
        <f t="shared" si="10"/>
        <v xml:space="preserve">    "s" : # U+73</v>
      </c>
    </row>
    <row r="85" spans="2:10">
      <c r="B85" cm="1">
        <f t="array" ref="B85">IF($A85="",IF(ROW()=1,"",INDEX(B:B,ROW()-1)+1),HEX2DEC($A85))</f>
        <v>116</v>
      </c>
      <c r="C85" t="str">
        <f t="shared" si="6"/>
        <v>1110100</v>
      </c>
      <c r="D85">
        <f t="shared" si="7"/>
        <v>4</v>
      </c>
      <c r="E85">
        <v>85</v>
      </c>
      <c r="F85" t="str">
        <f t="shared" si="8"/>
        <v>t</v>
      </c>
      <c r="I85" t="str">
        <f t="shared" si="9"/>
        <v xml:space="preserve">    "t" : # U+74</v>
      </c>
      <c r="J85" t="str">
        <f t="shared" si="10"/>
        <v xml:space="preserve">    "t" : # U+74</v>
      </c>
    </row>
    <row r="86" spans="2:10">
      <c r="B86" cm="1">
        <f t="array" ref="B86">IF($A86="",IF(ROW()=1,"",INDEX(B:B,ROW()-1)+1),HEX2DEC($A86))</f>
        <v>117</v>
      </c>
      <c r="C86" t="str">
        <f t="shared" si="6"/>
        <v>1110101</v>
      </c>
      <c r="D86">
        <f t="shared" si="7"/>
        <v>5</v>
      </c>
      <c r="E86">
        <v>86</v>
      </c>
      <c r="F86" t="str">
        <f t="shared" si="8"/>
        <v>u</v>
      </c>
      <c r="I86" t="str">
        <f t="shared" si="9"/>
        <v xml:space="preserve">    "u" : # U+75</v>
      </c>
      <c r="J86" t="str">
        <f t="shared" si="10"/>
        <v xml:space="preserve">    "u" : # U+75</v>
      </c>
    </row>
    <row r="87" spans="2:10">
      <c r="B87" cm="1">
        <f t="array" ref="B87">IF($A87="",IF(ROW()=1,"",INDEX(B:B,ROW()-1)+1),HEX2DEC($A87))</f>
        <v>118</v>
      </c>
      <c r="C87" t="str">
        <f t="shared" si="6"/>
        <v>1110110</v>
      </c>
      <c r="D87">
        <f t="shared" si="7"/>
        <v>5</v>
      </c>
      <c r="E87">
        <v>87</v>
      </c>
      <c r="F87" t="str">
        <f t="shared" si="8"/>
        <v>v</v>
      </c>
      <c r="I87" t="str">
        <f t="shared" si="9"/>
        <v xml:space="preserve">    "v" : # U+76</v>
      </c>
      <c r="J87" t="str">
        <f t="shared" si="10"/>
        <v xml:space="preserve">    "v" : # U+76</v>
      </c>
    </row>
    <row r="88" spans="2:10">
      <c r="B88" cm="1">
        <f t="array" ref="B88">IF($A88="",IF(ROW()=1,"",INDEX(B:B,ROW()-1)+1),HEX2DEC($A88))</f>
        <v>119</v>
      </c>
      <c r="C88" t="str">
        <f t="shared" si="6"/>
        <v>1110111</v>
      </c>
      <c r="D88">
        <f t="shared" si="7"/>
        <v>6</v>
      </c>
      <c r="E88">
        <v>88</v>
      </c>
      <c r="F88" t="str">
        <f t="shared" si="8"/>
        <v>w</v>
      </c>
      <c r="I88" t="str">
        <f t="shared" si="9"/>
        <v xml:space="preserve">    "w" : # U+77</v>
      </c>
      <c r="J88" t="str">
        <f t="shared" si="10"/>
        <v xml:space="preserve">    "w" : # U+77</v>
      </c>
    </row>
    <row r="89" spans="2:10">
      <c r="B89" cm="1">
        <f t="array" ref="B89">IF($A89="",IF(ROW()=1,"",INDEX(B:B,ROW()-1)+1),HEX2DEC($A89))</f>
        <v>120</v>
      </c>
      <c r="C89" t="str">
        <f t="shared" si="6"/>
        <v>1111000</v>
      </c>
      <c r="D89">
        <f t="shared" si="7"/>
        <v>4</v>
      </c>
      <c r="E89">
        <v>89</v>
      </c>
      <c r="F89" t="str">
        <f t="shared" si="8"/>
        <v>x</v>
      </c>
      <c r="I89" t="str">
        <f t="shared" si="9"/>
        <v xml:space="preserve">    "x" : # U+78</v>
      </c>
      <c r="J89" t="str">
        <f t="shared" si="10"/>
        <v xml:space="preserve">    "x" : # U+78</v>
      </c>
    </row>
    <row r="90" spans="2:10">
      <c r="B90" cm="1">
        <f t="array" ref="B90">IF($A90="",IF(ROW()=1,"",INDEX(B:B,ROW()-1)+1),HEX2DEC($A90))</f>
        <v>121</v>
      </c>
      <c r="C90" t="str">
        <f t="shared" si="6"/>
        <v>1111001</v>
      </c>
      <c r="D90">
        <f t="shared" si="7"/>
        <v>5</v>
      </c>
      <c r="E90">
        <v>90</v>
      </c>
      <c r="F90" t="str">
        <f t="shared" si="8"/>
        <v>y</v>
      </c>
      <c r="I90" t="str">
        <f t="shared" si="9"/>
        <v xml:space="preserve">    "y" : # U+79</v>
      </c>
      <c r="J90" t="str">
        <f t="shared" si="10"/>
        <v xml:space="preserve">    "y" : # U+79</v>
      </c>
    </row>
    <row r="91" spans="2:10">
      <c r="B91" cm="1">
        <f t="array" ref="B91">IF($A91="",IF(ROW()=1,"",INDEX(B:B,ROW()-1)+1),HEX2DEC($A91))</f>
        <v>122</v>
      </c>
      <c r="C91" t="str">
        <f t="shared" si="6"/>
        <v>1111010</v>
      </c>
      <c r="D91">
        <f t="shared" si="7"/>
        <v>5</v>
      </c>
      <c r="E91">
        <v>91</v>
      </c>
      <c r="F91" t="str">
        <f t="shared" si="8"/>
        <v>z</v>
      </c>
      <c r="I91" t="str">
        <f t="shared" si="9"/>
        <v xml:space="preserve">    "z" : # U+7A</v>
      </c>
      <c r="J91" t="str">
        <f t="shared" si="10"/>
        <v xml:space="preserve">    "z" : # U+7A</v>
      </c>
    </row>
    <row r="92" spans="2:10">
      <c r="B92" cm="1">
        <f t="array" ref="B92">IF($A92="",IF(ROW()=1,"",INDEX(B:B,ROW()-1)+1),HEX2DEC($A92))</f>
        <v>123</v>
      </c>
      <c r="C92" t="str">
        <f t="shared" si="6"/>
        <v>1111011</v>
      </c>
      <c r="D92">
        <f t="shared" si="7"/>
        <v>6</v>
      </c>
      <c r="E92">
        <v>92</v>
      </c>
      <c r="F92" t="str">
        <f t="shared" si="8"/>
        <v>{</v>
      </c>
      <c r="I92" t="str">
        <f t="shared" si="9"/>
        <v xml:space="preserve">    "{" : # U+7B</v>
      </c>
      <c r="J92" t="str">
        <f t="shared" si="10"/>
        <v xml:space="preserve">    "{" : # U+7B</v>
      </c>
    </row>
    <row r="93" spans="2:10">
      <c r="B93" cm="1">
        <f t="array" ref="B93">IF($A93="",IF(ROW()=1,"",INDEX(B:B,ROW()-1)+1),HEX2DEC($A93))</f>
        <v>124</v>
      </c>
      <c r="C93" t="str">
        <f t="shared" si="6"/>
        <v>1111100</v>
      </c>
      <c r="D93">
        <f t="shared" si="7"/>
        <v>5</v>
      </c>
      <c r="E93">
        <v>93</v>
      </c>
      <c r="F93" t="str">
        <f t="shared" si="8"/>
        <v>|</v>
      </c>
      <c r="I93" t="str">
        <f t="shared" si="9"/>
        <v xml:space="preserve">    "|" : # U+7C</v>
      </c>
      <c r="J93" t="str">
        <f t="shared" si="10"/>
        <v xml:space="preserve">    "|" : # U+7C</v>
      </c>
    </row>
    <row r="94" spans="2:10">
      <c r="B94" cm="1">
        <f t="array" ref="B94">IF($A94="",IF(ROW()=1,"",INDEX(B:B,ROW()-1)+1),HEX2DEC($A94))</f>
        <v>125</v>
      </c>
      <c r="C94" t="str">
        <f t="shared" si="6"/>
        <v>1111101</v>
      </c>
      <c r="D94">
        <f t="shared" si="7"/>
        <v>6</v>
      </c>
      <c r="E94">
        <v>94</v>
      </c>
      <c r="F94" t="str">
        <f t="shared" si="8"/>
        <v>}</v>
      </c>
      <c r="I94" t="str">
        <f t="shared" si="9"/>
        <v xml:space="preserve">    "}" : # U+7D</v>
      </c>
      <c r="J94" t="str">
        <f t="shared" si="10"/>
        <v xml:space="preserve">    "}" : # U+7D</v>
      </c>
    </row>
    <row r="95" spans="2:10">
      <c r="B95" cm="1">
        <f t="array" ref="B95">IF($A95="",IF(ROW()=1,"",INDEX(B:B,ROW()-1)+1),HEX2DEC($A95))</f>
        <v>126</v>
      </c>
      <c r="C95" t="str">
        <f t="shared" si="6"/>
        <v>1111110</v>
      </c>
      <c r="D95">
        <f t="shared" si="7"/>
        <v>6</v>
      </c>
      <c r="E95">
        <v>95</v>
      </c>
      <c r="F95" t="str">
        <f t="shared" si="8"/>
        <v>~</v>
      </c>
      <c r="I95" t="str">
        <f t="shared" si="9"/>
        <v xml:space="preserve">    "~" : # U+7E</v>
      </c>
      <c r="J95" t="str">
        <f t="shared" si="10"/>
        <v xml:space="preserve">    "~" : # U+7E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0A32-4A01-44AD-BEA2-AF323DAF1714}">
  <dimension ref="A1:C26"/>
  <sheetViews>
    <sheetView workbookViewId="0">
      <selection activeCell="C9" sqref="C9"/>
    </sheetView>
  </sheetViews>
  <sheetFormatPr defaultRowHeight="16.2"/>
  <sheetData>
    <row r="1" spans="1:3">
      <c r="A1" t="s">
        <v>1080</v>
      </c>
      <c r="B1">
        <v>1</v>
      </c>
      <c r="C1" t="s">
        <v>206</v>
      </c>
    </row>
    <row r="2" spans="1:3">
      <c r="A2" t="s">
        <v>1084</v>
      </c>
      <c r="B2">
        <v>1.008</v>
      </c>
      <c r="C2" t="s">
        <v>202</v>
      </c>
    </row>
    <row r="3" spans="1:3">
      <c r="A3" t="s">
        <v>1078</v>
      </c>
      <c r="B3">
        <v>1.1040000000000001</v>
      </c>
      <c r="C3" t="s">
        <v>198</v>
      </c>
    </row>
    <row r="4" spans="1:3">
      <c r="A4" t="s">
        <v>1085</v>
      </c>
      <c r="B4">
        <v>1.1120000000000001</v>
      </c>
      <c r="C4" t="s">
        <v>190</v>
      </c>
    </row>
    <row r="5" spans="1:3">
      <c r="A5" t="s">
        <v>1093</v>
      </c>
      <c r="B5">
        <v>1.2529999999999999</v>
      </c>
      <c r="C5" t="s">
        <v>194</v>
      </c>
    </row>
    <row r="6" spans="1:3">
      <c r="A6" t="s">
        <v>1086</v>
      </c>
      <c r="B6">
        <v>1.2609999999999999</v>
      </c>
      <c r="C6" t="s">
        <v>186</v>
      </c>
    </row>
    <row r="7" spans="1:3">
      <c r="A7" t="s">
        <v>1092</v>
      </c>
      <c r="B7">
        <v>1.3120000000000001</v>
      </c>
      <c r="C7" t="s">
        <v>182</v>
      </c>
    </row>
    <row r="8" spans="1:3">
      <c r="A8" t="s">
        <v>1095</v>
      </c>
      <c r="B8">
        <v>1.345</v>
      </c>
      <c r="C8" t="s">
        <v>178</v>
      </c>
    </row>
    <row r="9" spans="1:3">
      <c r="A9" t="s">
        <v>1079</v>
      </c>
      <c r="B9">
        <v>1.361</v>
      </c>
      <c r="C9" t="s">
        <v>224</v>
      </c>
    </row>
    <row r="10" spans="1:3">
      <c r="A10" t="s">
        <v>1083</v>
      </c>
      <c r="B10">
        <v>1.3779999999999999</v>
      </c>
      <c r="C10" t="s">
        <v>1061</v>
      </c>
    </row>
    <row r="11" spans="1:3">
      <c r="A11" t="s">
        <v>1087</v>
      </c>
      <c r="B11">
        <v>1.452</v>
      </c>
      <c r="C11" t="s">
        <v>1056</v>
      </c>
    </row>
    <row r="12" spans="1:3">
      <c r="A12" t="s">
        <v>1097</v>
      </c>
      <c r="B12">
        <v>1.4810000000000001</v>
      </c>
      <c r="C12" t="s">
        <v>1066</v>
      </c>
    </row>
    <row r="13" spans="1:3">
      <c r="A13" t="s">
        <v>1089</v>
      </c>
      <c r="B13">
        <v>1.502</v>
      </c>
      <c r="C13" t="s">
        <v>220</v>
      </c>
    </row>
    <row r="14" spans="1:3">
      <c r="A14" t="s">
        <v>1081</v>
      </c>
      <c r="B14">
        <v>1.5209999999999999</v>
      </c>
      <c r="C14" t="s">
        <v>1051</v>
      </c>
    </row>
    <row r="15" spans="1:3">
      <c r="A15" t="s">
        <v>1082</v>
      </c>
      <c r="B15">
        <v>1.5289999999999999</v>
      </c>
      <c r="C15" t="s">
        <v>216</v>
      </c>
    </row>
    <row r="16" spans="1:3">
      <c r="A16" t="s">
        <v>1096</v>
      </c>
      <c r="B16">
        <v>1.5840000000000001</v>
      </c>
      <c r="C16" t="s">
        <v>1046</v>
      </c>
    </row>
    <row r="17" spans="1:3">
      <c r="A17" t="s">
        <v>1088</v>
      </c>
      <c r="B17">
        <v>1.712</v>
      </c>
      <c r="C17" t="s">
        <v>212</v>
      </c>
    </row>
    <row r="18" spans="1:3">
      <c r="A18" t="s">
        <v>1094</v>
      </c>
      <c r="B18">
        <v>1.7649999999999999</v>
      </c>
      <c r="C18" t="s">
        <v>210</v>
      </c>
    </row>
    <row r="19" spans="1:3">
      <c r="A19" t="s">
        <v>1099</v>
      </c>
      <c r="B19">
        <v>1.8009999999999999</v>
      </c>
      <c r="C19" t="s">
        <v>209</v>
      </c>
    </row>
    <row r="20" spans="1:3">
      <c r="A20" t="s">
        <v>1076</v>
      </c>
      <c r="B20">
        <v>1.8420000000000001</v>
      </c>
      <c r="C20" t="s">
        <v>1044</v>
      </c>
    </row>
    <row r="21" spans="1:3">
      <c r="A21" t="s">
        <v>1077</v>
      </c>
      <c r="B21">
        <v>1.9510000000000001</v>
      </c>
      <c r="C21" t="s">
        <v>1114</v>
      </c>
    </row>
    <row r="22" spans="1:3">
      <c r="A22" t="s">
        <v>1075</v>
      </c>
      <c r="B22">
        <v>1.982</v>
      </c>
    </row>
    <row r="23" spans="1:3">
      <c r="A23" t="s">
        <v>1098</v>
      </c>
      <c r="B23">
        <v>2.145</v>
      </c>
    </row>
    <row r="24" spans="1:3">
      <c r="A24" t="s">
        <v>1091</v>
      </c>
      <c r="B24">
        <v>2.214</v>
      </c>
    </row>
    <row r="25" spans="1:3">
      <c r="A25" t="s">
        <v>1090</v>
      </c>
      <c r="B25">
        <v>2.2850000000000001</v>
      </c>
    </row>
    <row r="26" spans="1:3">
      <c r="A26" t="s">
        <v>1100</v>
      </c>
      <c r="B26">
        <v>2.5670000000000002</v>
      </c>
    </row>
  </sheetData>
  <sortState xmlns:xlrd2="http://schemas.microsoft.com/office/spreadsheetml/2017/richdata2" ref="A1:B26">
    <sortCondition ref="B1:B26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E795-9AB0-4811-8410-A27EED2AE3FE}">
  <dimension ref="A2:J18"/>
  <sheetViews>
    <sheetView workbookViewId="0">
      <selection activeCell="A2" sqref="A2:A18"/>
    </sheetView>
  </sheetViews>
  <sheetFormatPr defaultRowHeight="16.2"/>
  <sheetData>
    <row r="2" spans="1:10">
      <c r="A2" t="s">
        <v>206</v>
      </c>
      <c r="B2" t="s">
        <v>207</v>
      </c>
      <c r="D2">
        <v>222</v>
      </c>
      <c r="E2" t="s">
        <v>208</v>
      </c>
      <c r="F2" t="s">
        <v>1039</v>
      </c>
      <c r="H2" t="s">
        <v>1108</v>
      </c>
      <c r="J2">
        <v>124.95</v>
      </c>
    </row>
    <row r="3" spans="1:10">
      <c r="A3" t="s">
        <v>202</v>
      </c>
      <c r="B3" t="s">
        <v>203</v>
      </c>
      <c r="D3">
        <v>122</v>
      </c>
      <c r="E3" t="s">
        <v>204</v>
      </c>
      <c r="F3" t="s">
        <v>1038</v>
      </c>
      <c r="H3" t="s">
        <v>1107</v>
      </c>
      <c r="J3">
        <v>75.95</v>
      </c>
    </row>
    <row r="4" spans="1:10">
      <c r="A4" t="s">
        <v>198</v>
      </c>
      <c r="B4" t="s">
        <v>199</v>
      </c>
      <c r="D4">
        <v>212</v>
      </c>
      <c r="E4" t="s">
        <v>200</v>
      </c>
      <c r="F4" t="s">
        <v>1037</v>
      </c>
      <c r="H4" t="s">
        <v>1106</v>
      </c>
      <c r="J4">
        <v>74.97</v>
      </c>
    </row>
    <row r="5" spans="1:10">
      <c r="A5" t="s">
        <v>190</v>
      </c>
      <c r="B5" t="s">
        <v>191</v>
      </c>
      <c r="D5">
        <v>221</v>
      </c>
      <c r="E5" t="s">
        <v>192</v>
      </c>
      <c r="F5" t="s">
        <v>1035</v>
      </c>
      <c r="H5" t="s">
        <v>1104</v>
      </c>
      <c r="J5">
        <v>73.95</v>
      </c>
    </row>
    <row r="6" spans="1:10">
      <c r="A6" t="s">
        <v>194</v>
      </c>
      <c r="B6" t="s">
        <v>195</v>
      </c>
      <c r="D6">
        <v>112</v>
      </c>
      <c r="E6" t="s">
        <v>196</v>
      </c>
      <c r="F6" t="s">
        <v>1036</v>
      </c>
      <c r="H6" t="s">
        <v>1105</v>
      </c>
      <c r="J6">
        <v>45.570000000000007</v>
      </c>
    </row>
    <row r="7" spans="1:10">
      <c r="A7" t="s">
        <v>186</v>
      </c>
      <c r="B7" t="s">
        <v>187</v>
      </c>
      <c r="D7">
        <v>121</v>
      </c>
      <c r="E7" t="s">
        <v>188</v>
      </c>
      <c r="F7" t="s">
        <v>1034</v>
      </c>
      <c r="H7" t="s">
        <v>1103</v>
      </c>
      <c r="J7">
        <v>44.949999999999996</v>
      </c>
    </row>
    <row r="8" spans="1:10">
      <c r="A8" t="s">
        <v>182</v>
      </c>
      <c r="B8" t="s">
        <v>183</v>
      </c>
      <c r="D8">
        <v>211</v>
      </c>
      <c r="E8" t="s">
        <v>184</v>
      </c>
      <c r="F8" t="s">
        <v>1033</v>
      </c>
      <c r="H8" t="s">
        <v>1102</v>
      </c>
      <c r="J8">
        <v>44.37</v>
      </c>
    </row>
    <row r="9" spans="1:10">
      <c r="A9" t="s">
        <v>178</v>
      </c>
      <c r="B9" t="s">
        <v>179</v>
      </c>
      <c r="D9">
        <v>111</v>
      </c>
      <c r="E9" t="s">
        <v>180</v>
      </c>
      <c r="F9" t="s">
        <v>1032</v>
      </c>
      <c r="H9" t="s">
        <v>1101</v>
      </c>
      <c r="J9">
        <v>26.970000000000002</v>
      </c>
    </row>
    <row r="10" spans="1:10">
      <c r="A10" t="s">
        <v>224</v>
      </c>
      <c r="B10" t="s">
        <v>225</v>
      </c>
      <c r="D10">
        <v>22</v>
      </c>
      <c r="E10" t="s">
        <v>226</v>
      </c>
      <c r="F10" t="s">
        <v>1043</v>
      </c>
      <c r="H10" t="s">
        <v>1073</v>
      </c>
      <c r="J10">
        <v>16.769999999999996</v>
      </c>
    </row>
    <row r="11" spans="1:10">
      <c r="A11" t="s">
        <v>1061</v>
      </c>
      <c r="C11" t="s">
        <v>1062</v>
      </c>
      <c r="D11">
        <v>32</v>
      </c>
      <c r="E11" t="s">
        <v>1063</v>
      </c>
      <c r="F11" t="s">
        <v>1064</v>
      </c>
      <c r="H11" t="s">
        <v>1112</v>
      </c>
      <c r="J11">
        <v>15.989999999999997</v>
      </c>
    </row>
    <row r="12" spans="1:10">
      <c r="A12" t="s">
        <v>1056</v>
      </c>
      <c r="C12" t="s">
        <v>1057</v>
      </c>
      <c r="D12">
        <v>23</v>
      </c>
      <c r="E12" t="s">
        <v>1058</v>
      </c>
      <c r="F12" t="s">
        <v>1059</v>
      </c>
      <c r="H12" t="s">
        <v>1111</v>
      </c>
      <c r="J12">
        <v>15.909999999999998</v>
      </c>
    </row>
    <row r="13" spans="1:10">
      <c r="A13" t="s">
        <v>1066</v>
      </c>
      <c r="C13" t="s">
        <v>1067</v>
      </c>
      <c r="D13">
        <v>33</v>
      </c>
      <c r="E13" t="s">
        <v>1068</v>
      </c>
      <c r="F13" t="s">
        <v>1069</v>
      </c>
      <c r="H13" t="s">
        <v>1113</v>
      </c>
      <c r="J13">
        <v>15.169999999999998</v>
      </c>
    </row>
    <row r="14" spans="1:10">
      <c r="A14" t="s">
        <v>220</v>
      </c>
      <c r="B14" t="s">
        <v>221</v>
      </c>
      <c r="D14">
        <v>12</v>
      </c>
      <c r="E14" t="s">
        <v>222</v>
      </c>
      <c r="F14" t="s">
        <v>1042</v>
      </c>
      <c r="H14" t="s">
        <v>1072</v>
      </c>
      <c r="J14">
        <v>4.6799999999999988</v>
      </c>
    </row>
    <row r="15" spans="1:10">
      <c r="A15" t="s">
        <v>1051</v>
      </c>
      <c r="C15" t="s">
        <v>1052</v>
      </c>
      <c r="D15">
        <v>13</v>
      </c>
      <c r="E15" t="s">
        <v>1053</v>
      </c>
      <c r="F15" t="s">
        <v>1054</v>
      </c>
      <c r="H15" t="s">
        <v>1110</v>
      </c>
      <c r="J15">
        <v>4.4399999999999995</v>
      </c>
    </row>
    <row r="16" spans="1:10">
      <c r="A16" t="s">
        <v>216</v>
      </c>
      <c r="B16" t="s">
        <v>217</v>
      </c>
      <c r="D16">
        <v>21</v>
      </c>
      <c r="E16" t="s">
        <v>218</v>
      </c>
      <c r="F16" t="s">
        <v>1041</v>
      </c>
      <c r="H16" t="s">
        <v>1071</v>
      </c>
      <c r="J16">
        <v>3.44</v>
      </c>
    </row>
    <row r="17" spans="1:10">
      <c r="A17" t="s">
        <v>1046</v>
      </c>
      <c r="C17" t="s">
        <v>1047</v>
      </c>
      <c r="D17">
        <v>31</v>
      </c>
      <c r="E17" t="s">
        <v>1048</v>
      </c>
      <c r="F17" t="s">
        <v>1049</v>
      </c>
      <c r="H17" t="s">
        <v>1109</v>
      </c>
      <c r="J17">
        <v>3.28</v>
      </c>
    </row>
    <row r="18" spans="1:10">
      <c r="A18" t="s">
        <v>212</v>
      </c>
      <c r="B18" t="s">
        <v>213</v>
      </c>
      <c r="D18">
        <v>11</v>
      </c>
      <c r="E18" t="s">
        <v>214</v>
      </c>
      <c r="F18" t="s">
        <v>1040</v>
      </c>
      <c r="H18" t="s">
        <v>1070</v>
      </c>
      <c r="J18">
        <v>0.96</v>
      </c>
    </row>
  </sheetData>
  <autoFilter ref="A1:N1" xr:uid="{9317E795-9AB0-4811-8410-A27EED2AE3FE}">
    <sortState xmlns:xlrd2="http://schemas.microsoft.com/office/spreadsheetml/2017/richdata2" ref="A2:N18">
      <sortCondition descending="1" ref="J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總分145</vt:lpstr>
      <vt:lpstr>總冗17</vt:lpstr>
      <vt:lpstr>變2</vt:lpstr>
      <vt:lpstr>周易</vt:lpstr>
      <vt:lpstr>太玄</vt:lpstr>
      <vt:lpstr>爻</vt:lpstr>
      <vt:lpstr>象</vt:lpstr>
      <vt:lpstr>經卦</vt:lpstr>
      <vt:lpstr>公式</vt:lpstr>
      <vt:lpstr>ASCII</vt:lpstr>
      <vt:lpstr>工作表3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xua</dc:creator>
  <cp:lastModifiedBy>xa xua</cp:lastModifiedBy>
  <dcterms:created xsi:type="dcterms:W3CDTF">2026-05-03T20:02:19Z</dcterms:created>
  <dcterms:modified xsi:type="dcterms:W3CDTF">2026-05-04T12:50:53Z</dcterms:modified>
</cp:coreProperties>
</file>